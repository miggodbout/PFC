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ko\Downloads\"/>
    </mc:Choice>
  </mc:AlternateContent>
  <xr:revisionPtr revIDLastSave="0" documentId="13_ncr:1_{834BD1C5-199C-4BCD-A831-E6ADF3BF32A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ashboard" sheetId="1" r:id="rId1"/>
    <sheet name="Unit Tracker" sheetId="2" r:id="rId2"/>
  </sheets>
  <definedNames>
    <definedName name="_xlnm._FilterDatabase" localSheetId="1" hidden="1">'Unit Tracker'!$A$6:$AT$6</definedName>
  </definedNames>
  <calcPr calcId="181029"/>
</workbook>
</file>

<file path=xl/calcChain.xml><?xml version="1.0" encoding="utf-8"?>
<calcChain xmlns="http://schemas.openxmlformats.org/spreadsheetml/2006/main">
  <c r="AR42" i="2" l="1"/>
  <c r="AQ42" i="2"/>
  <c r="AP42" i="2"/>
  <c r="AO42" i="2"/>
  <c r="AT42" i="2" s="1"/>
  <c r="AR41" i="2"/>
  <c r="AQ41" i="2"/>
  <c r="AP41" i="2"/>
  <c r="AO41" i="2"/>
  <c r="AT41" i="2" s="1"/>
  <c r="AR40" i="2"/>
  <c r="AQ40" i="2"/>
  <c r="AP40" i="2"/>
  <c r="AO40" i="2"/>
  <c r="AT40" i="2" s="1"/>
  <c r="AT39" i="2"/>
  <c r="AR39" i="2"/>
  <c r="AQ39" i="2"/>
  <c r="AP39" i="2"/>
  <c r="AO39" i="2"/>
  <c r="AT38" i="2"/>
  <c r="AR38" i="2"/>
  <c r="AQ38" i="2"/>
  <c r="AP38" i="2"/>
  <c r="AO38" i="2"/>
  <c r="AR37" i="2"/>
  <c r="AQ37" i="2"/>
  <c r="AP37" i="2"/>
  <c r="AT37" i="2" s="1"/>
  <c r="AO37" i="2"/>
  <c r="AR36" i="2"/>
  <c r="AQ36" i="2"/>
  <c r="AP36" i="2"/>
  <c r="AO36" i="2"/>
  <c r="AT36" i="2" s="1"/>
  <c r="AT35" i="2"/>
  <c r="AR35" i="2"/>
  <c r="AQ35" i="2"/>
  <c r="AP35" i="2"/>
  <c r="AO35" i="2"/>
  <c r="AR34" i="2"/>
  <c r="AQ34" i="2"/>
  <c r="AP34" i="2"/>
  <c r="AO34" i="2"/>
  <c r="AT34" i="2" s="1"/>
  <c r="AR33" i="2"/>
  <c r="AQ33" i="2"/>
  <c r="AP33" i="2"/>
  <c r="AO33" i="2"/>
  <c r="AT33" i="2" s="1"/>
  <c r="AR32" i="2"/>
  <c r="AT32" i="2" s="1"/>
  <c r="AQ32" i="2"/>
  <c r="AP32" i="2"/>
  <c r="AO32" i="2"/>
  <c r="AR31" i="2"/>
  <c r="AQ31" i="2"/>
  <c r="AP31" i="2"/>
  <c r="AO31" i="2"/>
  <c r="AT31" i="2" s="1"/>
  <c r="AT30" i="2"/>
  <c r="AR30" i="2"/>
  <c r="AQ30" i="2"/>
  <c r="AP30" i="2"/>
  <c r="AO30" i="2"/>
  <c r="AR29" i="2"/>
  <c r="AQ29" i="2"/>
  <c r="AP29" i="2"/>
  <c r="AO29" i="2"/>
  <c r="AT29" i="2" s="1"/>
  <c r="AR28" i="2"/>
  <c r="AQ28" i="2"/>
  <c r="AP28" i="2"/>
  <c r="AT28" i="2" s="1"/>
  <c r="AO28" i="2"/>
  <c r="AR27" i="2"/>
  <c r="AQ27" i="2"/>
  <c r="AP27" i="2"/>
  <c r="AO27" i="2"/>
  <c r="AT27" i="2" s="1"/>
  <c r="AR26" i="2"/>
  <c r="AQ26" i="2"/>
  <c r="AP26" i="2"/>
  <c r="AO26" i="2"/>
  <c r="AT26" i="2" s="1"/>
  <c r="AR25" i="2"/>
  <c r="AQ25" i="2"/>
  <c r="AP25" i="2"/>
  <c r="AO25" i="2"/>
  <c r="AT25" i="2" s="1"/>
  <c r="AR24" i="2"/>
  <c r="AQ24" i="2"/>
  <c r="AP24" i="2"/>
  <c r="AO24" i="2"/>
  <c r="AT24" i="2" s="1"/>
  <c r="AR23" i="2"/>
  <c r="AQ23" i="2"/>
  <c r="AP23" i="2"/>
  <c r="AO23" i="2"/>
  <c r="AT23" i="2" s="1"/>
  <c r="AT22" i="2"/>
  <c r="AR22" i="2"/>
  <c r="AQ22" i="2"/>
  <c r="AP22" i="2"/>
  <c r="AO22" i="2"/>
  <c r="AR21" i="2"/>
  <c r="AQ21" i="2"/>
  <c r="AP21" i="2"/>
  <c r="AT21" i="2" s="1"/>
  <c r="AO21" i="2"/>
  <c r="AR20" i="2"/>
  <c r="AQ20" i="2"/>
  <c r="AP20" i="2"/>
  <c r="AO20" i="2"/>
  <c r="AT20" i="2" s="1"/>
  <c r="AT19" i="2"/>
  <c r="AR19" i="2"/>
  <c r="AQ19" i="2"/>
  <c r="AP19" i="2"/>
  <c r="AO19" i="2"/>
  <c r="AR18" i="2"/>
  <c r="AQ18" i="2"/>
  <c r="AP18" i="2"/>
  <c r="AO18" i="2"/>
  <c r="AT18" i="2" s="1"/>
  <c r="AR17" i="2"/>
  <c r="AQ17" i="2"/>
  <c r="AP17" i="2"/>
  <c r="AO17" i="2"/>
  <c r="AT17" i="2" s="1"/>
  <c r="AR16" i="2"/>
  <c r="AQ16" i="2"/>
  <c r="AT16" i="2" s="1"/>
  <c r="AP16" i="2"/>
  <c r="AO16" i="2"/>
  <c r="AR15" i="2"/>
  <c r="AQ15" i="2"/>
  <c r="AP15" i="2"/>
  <c r="AO15" i="2"/>
  <c r="AT15" i="2" s="1"/>
  <c r="AT14" i="2"/>
  <c r="AR14" i="2"/>
  <c r="AQ14" i="2"/>
  <c r="AP14" i="2"/>
  <c r="AO14" i="2"/>
  <c r="AR13" i="2"/>
  <c r="AQ13" i="2"/>
  <c r="AP13" i="2"/>
  <c r="AO13" i="2"/>
  <c r="AT13" i="2" s="1"/>
  <c r="AR12" i="2"/>
  <c r="AQ12" i="2"/>
  <c r="AP12" i="2"/>
  <c r="AT12" i="2" s="1"/>
  <c r="AO12" i="2"/>
  <c r="AR11" i="2"/>
  <c r="C9" i="1" s="1"/>
  <c r="AQ11" i="2"/>
  <c r="AP11" i="2"/>
  <c r="AO11" i="2"/>
  <c r="AT11" i="2" s="1"/>
  <c r="AR10" i="2"/>
  <c r="AQ10" i="2"/>
  <c r="AP10" i="2"/>
  <c r="F7" i="1" s="1"/>
  <c r="AO10" i="2"/>
  <c r="AT10" i="2" s="1"/>
  <c r="AR9" i="2"/>
  <c r="AQ9" i="2"/>
  <c r="AP9" i="2"/>
  <c r="AO9" i="2"/>
  <c r="AT9" i="2" s="1"/>
  <c r="AR8" i="2"/>
  <c r="F9" i="1" s="1"/>
  <c r="AQ8" i="2"/>
  <c r="B8" i="1" s="1"/>
  <c r="AP8" i="2"/>
  <c r="AO8" i="2"/>
  <c r="AT8" i="2" s="1"/>
  <c r="AR7" i="2"/>
  <c r="E9" i="1" s="1"/>
  <c r="AQ7" i="2"/>
  <c r="D8" i="1" s="1"/>
  <c r="AP7" i="2"/>
  <c r="D7" i="1" s="1"/>
  <c r="AO7" i="2"/>
  <c r="F6" i="1" s="1"/>
  <c r="B6" i="1" l="1"/>
  <c r="E7" i="1"/>
  <c r="F8" i="1"/>
  <c r="E8" i="1"/>
  <c r="AT7" i="2"/>
  <c r="B9" i="1"/>
  <c r="D6" i="1"/>
  <c r="C6" i="1"/>
  <c r="D9" i="1"/>
  <c r="E6" i="1"/>
  <c r="B7" i="1"/>
  <c r="C7" i="1"/>
  <c r="C8" i="1"/>
  <c r="F13" i="1" l="1"/>
  <c r="E13" i="1"/>
  <c r="D13" i="1"/>
  <c r="C13" i="1"/>
  <c r="B13" i="1"/>
</calcChain>
</file>

<file path=xl/sharedStrings.xml><?xml version="1.0" encoding="utf-8"?>
<sst xmlns="http://schemas.openxmlformats.org/spreadsheetml/2006/main" count="785" uniqueCount="55">
  <si>
    <t>PREMIER FINISH &amp; CONSTRUCTION  ·  PROJECT MASTER TRACKER</t>
  </si>
  <si>
    <t>[Building Name / Address]</t>
  </si>
  <si>
    <t xml:space="preserve">  PROGRESS SUMMARY  (units, out of 36)</t>
  </si>
  <si>
    <t>Phase</t>
  </si>
  <si>
    <t>Not Started</t>
  </si>
  <si>
    <t>In Progress</t>
  </si>
  <si>
    <t>Complete</t>
  </si>
  <si>
    <t>Deficiency</t>
  </si>
  <si>
    <t>On Hold</t>
  </si>
  <si>
    <t>Phase 1 — Doors &amp; Windows</t>
  </si>
  <si>
    <t>Phase 2 — Baseboards</t>
  </si>
  <si>
    <t>Other</t>
  </si>
  <si>
    <t xml:space="preserve">  UNIT OVERALL STATUS  (whole-unit rollup)</t>
  </si>
  <si>
    <t>PREMIER FINISH &amp; CONSTRUCTION  ·  MASTER TRACKER TEMPLATE</t>
  </si>
  <si>
    <t>[Building Name / Address]  ·  [Total Units]</t>
  </si>
  <si>
    <t>PHASE 1 · DOORS &amp; WINDOWS</t>
  </si>
  <si>
    <t>PHASE 2 · BASEBOARDS</t>
  </si>
  <si>
    <t>PHASE 3 · HARDWARE &amp; ACCESSORIES</t>
  </si>
  <si>
    <t>LAST UPDATED</t>
  </si>
  <si>
    <t>OVERALL STATUS</t>
  </si>
  <si>
    <t>INTERIOR DOORS</t>
  </si>
  <si>
    <t>UNIT DOOR</t>
  </si>
  <si>
    <t>PATIO DOOR(S)</t>
  </si>
  <si>
    <t>WINDOWS</t>
  </si>
  <si>
    <t>ATTIC HATCH</t>
  </si>
  <si>
    <t>HANDRAIL</t>
  </si>
  <si>
    <t>CUT</t>
  </si>
  <si>
    <t>NAILED</t>
  </si>
  <si>
    <t>PASSAGE</t>
  </si>
  <si>
    <t>PRIVACY</t>
  </si>
  <si>
    <t>DUMMY</t>
  </si>
  <si>
    <t>DEADBOLT</t>
  </si>
  <si>
    <t>BALL CATCH</t>
  </si>
  <si>
    <t>SPRING STOP</t>
  </si>
  <si>
    <t>HINGE STOP</t>
  </si>
  <si>
    <t>MIRROR</t>
  </si>
  <si>
    <t>BATHROOM ACCESSORY</t>
  </si>
  <si>
    <t>FIRESWEEP / PEEPHOLE / SPRING</t>
  </si>
  <si>
    <t>OTHER (CUSTOM ITEM)</t>
  </si>
  <si>
    <t>PHASE 1</t>
  </si>
  <si>
    <t>PHASE 2</t>
  </si>
  <si>
    <t>PHASE 3</t>
  </si>
  <si>
    <t>OTHER</t>
  </si>
  <si>
    <t>Status</t>
  </si>
  <si>
    <t>Details</t>
  </si>
  <si>
    <t>Phase 3 — Hardware</t>
  </si>
  <si>
    <t>Count</t>
  </si>
  <si>
    <t>Floor</t>
  </si>
  <si>
    <t>Unit #</t>
  </si>
  <si>
    <t xml:space="preserve">OTHER </t>
  </si>
  <si>
    <t>PHASE ROLLUP</t>
  </si>
  <si>
    <t>DATE</t>
  </si>
  <si>
    <t>COMPLETION</t>
  </si>
  <si>
    <t>PROGRESS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</si>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</sst>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AAAAAA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b/>
      <sz val="7.5"/>
      <color rgb="FFFFFFFF"/>
      <name val="Arial"/>
    </font>
    <font>
      <sz val="9"/>
      <color rgb="FF1A1A1A"/>
      <name val="Arial"/>
    </font>
    <font>
      <sz val="8"/>
      <name val="Arial"/>
    </font>
    <font>
      <b/>
      <sz val="8"/>
      <name val="Arial"/>
    </font>
    <font>
      <b/>
      <sz val="11"/>
      <color rgb="FF1A1A1A"/>
      <name val="Arial"/>
    </font>
    <font>
      <b/>
      <sz val="12"/>
      <name val="Calibri"/>
    </font>
    <font>
      <b/>
      <sz val="1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42424"/>
      </patternFill>
    </fill>
    <fill>
      <patternFill patternType="solid">
        <fgColor rgb="FF404040"/>
      </patternFill>
    </fill>
    <fill>
      <patternFill patternType="solid">
        <fgColor rgb="FFDE7452"/>
      </patternFill>
    </fill>
    <fill>
      <patternFill patternType="solid">
        <fgColor rgb="FF555555"/>
      </patternFill>
    </fill>
    <fill>
      <patternFill patternType="solid">
        <fgColor rgb="FFEFEFE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F5F5F5"/>
      </patternFill>
    </fill>
  </fills>
  <borders count="3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medium">
        <color indexed="64"/>
      </right>
      <top/>
      <bottom style="thin">
        <color rgb="FFD0D0D0"/>
      </bottom>
      <diagonal/>
    </border>
    <border>
      <left style="medium">
        <color indexed="64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indexed="64"/>
      </right>
      <top style="thin">
        <color rgb="FFD0D0D0"/>
      </top>
      <bottom style="thin">
        <color rgb="FFD0D0D0"/>
      </bottom>
      <diagonal/>
    </border>
    <border>
      <left style="medium">
        <color indexed="64"/>
      </left>
      <right style="thin">
        <color rgb="FFD0D0D0"/>
      </right>
      <top style="thin">
        <color rgb="FFD0D0D0"/>
      </top>
      <bottom style="medium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indexed="64"/>
      </bottom>
      <diagonal/>
    </border>
    <border>
      <left style="thin">
        <color rgb="FFD0D0D0"/>
      </left>
      <right style="medium">
        <color indexed="64"/>
      </right>
      <top style="thin">
        <color rgb="FFD0D0D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7" fillId="7" borderId="1" xfId="0" applyFont="1" applyFill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9" fillId="12" borderId="2" xfId="0" applyFont="1" applyFill="1" applyBorder="1"/>
    <xf numFmtId="0" fontId="10" fillId="7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3" fillId="5" borderId="2" xfId="0" applyFont="1" applyFill="1" applyBorder="1"/>
    <xf numFmtId="0" fontId="0" fillId="0" borderId="2" xfId="0" applyBorder="1"/>
    <xf numFmtId="0" fontId="1" fillId="2" borderId="0" xfId="0" applyFont="1" applyFill="1" applyAlignment="1">
      <alignment horizontal="left" vertical="center" inden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6" xfId="0" applyFont="1" applyBorder="1"/>
    <xf numFmtId="0" fontId="7" fillId="7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3" fillId="5" borderId="15" xfId="0" applyFont="1" applyFill="1" applyBorder="1" applyAlignment="1">
      <alignment horizontal="center" vertical="center"/>
    </xf>
    <xf numFmtId="0" fontId="0" fillId="0" borderId="18" xfId="0" applyBorder="1"/>
    <xf numFmtId="0" fontId="4" fillId="4" borderId="14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6" borderId="2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/>
    </xf>
    <xf numFmtId="0" fontId="7" fillId="0" borderId="25" xfId="0" applyFont="1" applyBorder="1"/>
    <xf numFmtId="0" fontId="7" fillId="7" borderId="26" xfId="0" applyFont="1" applyFill="1" applyBorder="1" applyAlignment="1">
      <alignment horizontal="center"/>
    </xf>
    <xf numFmtId="0" fontId="7" fillId="0" borderId="27" xfId="0" applyFont="1" applyBorder="1"/>
    <xf numFmtId="0" fontId="7" fillId="7" borderId="28" xfId="0" applyFont="1" applyFill="1" applyBorder="1" applyAlignment="1">
      <alignment horizontal="center"/>
    </xf>
    <xf numFmtId="0" fontId="7" fillId="0" borderId="29" xfId="0" applyFont="1" applyBorder="1"/>
    <xf numFmtId="0" fontId="7" fillId="7" borderId="29" xfId="0" applyFont="1" applyFill="1" applyBorder="1" applyAlignment="1">
      <alignment horizontal="center"/>
    </xf>
    <xf numFmtId="0" fontId="7" fillId="0" borderId="30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0" fillId="0" borderId="19" xfId="0" applyBorder="1"/>
    <xf numFmtId="0" fontId="8" fillId="0" borderId="25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0" fillId="0" borderId="29" xfId="0" applyBorder="1"/>
    <xf numFmtId="0" fontId="8" fillId="0" borderId="30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5"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>
      <selection activeCell="D21" sqref="D21"/>
    </sheetView>
  </sheetViews>
  <sheetFormatPr defaultRowHeight="15" x14ac:dyDescent="0.25"/>
  <cols>
    <col min="1" max="1" width="31.42578125" customWidth="1"/>
    <col min="2" max="6" width="22" customWidth="1"/>
  </cols>
  <sheetData>
    <row r="1" spans="1:6" ht="30" customHeight="1" x14ac:dyDescent="0.25">
      <c r="A1" s="26" t="s">
        <v>0</v>
      </c>
      <c r="B1" s="23"/>
      <c r="C1" s="23"/>
      <c r="D1" s="23"/>
      <c r="E1" s="23"/>
      <c r="F1" s="23"/>
    </row>
    <row r="2" spans="1:6" ht="18" customHeight="1" x14ac:dyDescent="0.25">
      <c r="A2" s="22" t="s">
        <v>1</v>
      </c>
      <c r="B2" s="23"/>
      <c r="C2" s="23"/>
      <c r="D2" s="23"/>
      <c r="E2" s="23"/>
      <c r="F2" s="23"/>
    </row>
    <row r="4" spans="1:6" x14ac:dyDescent="0.25">
      <c r="A4" s="24" t="s">
        <v>2</v>
      </c>
      <c r="B4" s="25"/>
      <c r="C4" s="25"/>
      <c r="D4" s="25"/>
      <c r="E4" s="25"/>
      <c r="F4" s="25"/>
    </row>
    <row r="5" spans="1:6" x14ac:dyDescent="0.25">
      <c r="A5" s="5" t="s">
        <v>3</v>
      </c>
      <c r="B5" s="5" t="s">
        <v>4</v>
      </c>
      <c r="C5" s="6" t="s">
        <v>5</v>
      </c>
      <c r="D5" s="7" t="s">
        <v>6</v>
      </c>
      <c r="E5" s="8" t="s">
        <v>7</v>
      </c>
      <c r="F5" s="9" t="s">
        <v>8</v>
      </c>
    </row>
    <row r="6" spans="1:6" ht="15.75" x14ac:dyDescent="0.25">
      <c r="A6" s="10" t="s">
        <v>9</v>
      </c>
      <c r="B6" s="11">
        <f>COUNTIF('Unit Tracker'!AO7:AO42,"Not Started")</f>
        <v>36</v>
      </c>
      <c r="C6" s="12">
        <f>COUNTIF('Unit Tracker'!AO7:AO42,"In Progress")</f>
        <v>0</v>
      </c>
      <c r="D6" s="13">
        <f>COUNTIF('Unit Tracker'!AO7:AO42,"Complete")</f>
        <v>0</v>
      </c>
      <c r="E6" s="14">
        <f>COUNTIF('Unit Tracker'!AO7:AO42,"Deficiency")</f>
        <v>0</v>
      </c>
      <c r="F6" s="15">
        <f>COUNTIF('Unit Tracker'!AO7:AO42,"On Hold")</f>
        <v>0</v>
      </c>
    </row>
    <row r="7" spans="1:6" ht="15.75" x14ac:dyDescent="0.25">
      <c r="A7" s="10" t="s">
        <v>10</v>
      </c>
      <c r="B7" s="11">
        <f>COUNTIF('Unit Tracker'!AP7:AP42,"Not Started")</f>
        <v>36</v>
      </c>
      <c r="C7" s="12">
        <f>COUNTIF('Unit Tracker'!AP7:AP42,"In Progress")</f>
        <v>0</v>
      </c>
      <c r="D7" s="13">
        <f>COUNTIF('Unit Tracker'!AP7:AP42,"Complete")</f>
        <v>0</v>
      </c>
      <c r="E7" s="14">
        <f>COUNTIF('Unit Tracker'!AP7:AP42,"Deficiency")</f>
        <v>0</v>
      </c>
      <c r="F7" s="15">
        <f>COUNTIF('Unit Tracker'!AP7:AP42,"On Hold")</f>
        <v>0</v>
      </c>
    </row>
    <row r="8" spans="1:6" ht="15.75" x14ac:dyDescent="0.25">
      <c r="A8" s="10" t="s">
        <v>45</v>
      </c>
      <c r="B8" s="11">
        <f>COUNTIF('Unit Tracker'!AQ7:AQ42,"Not Started")</f>
        <v>36</v>
      </c>
      <c r="C8" s="12">
        <f>COUNTIF('Unit Tracker'!AQ7:AQ42,"In Progress")</f>
        <v>0</v>
      </c>
      <c r="D8" s="13">
        <f>COUNTIF('Unit Tracker'!AQ7:AQ42,"Complete")</f>
        <v>0</v>
      </c>
      <c r="E8" s="14">
        <f>COUNTIF('Unit Tracker'!AQ7:AQ42,"Deficiency")</f>
        <v>0</v>
      </c>
      <c r="F8" s="15">
        <f>COUNTIF('Unit Tracker'!AQ7:AQ42,"On Hold")</f>
        <v>0</v>
      </c>
    </row>
    <row r="9" spans="1:6" ht="15.75" x14ac:dyDescent="0.25">
      <c r="A9" s="10" t="s">
        <v>11</v>
      </c>
      <c r="B9" s="11">
        <f>COUNTIF('Unit Tracker'!AR7:AR42,"Not Started")</f>
        <v>36</v>
      </c>
      <c r="C9" s="12">
        <f>COUNTIF('Unit Tracker'!AR7:AR42,"In Progress")</f>
        <v>0</v>
      </c>
      <c r="D9" s="13">
        <f>COUNTIF('Unit Tracker'!AR7:AR42,"Complete")</f>
        <v>0</v>
      </c>
      <c r="E9" s="14">
        <f>COUNTIF('Unit Tracker'!AR7:AR42,"Deficiency")</f>
        <v>0</v>
      </c>
      <c r="F9" s="15">
        <f>COUNTIF('Unit Tracker'!AR7:AR42,"On Hold")</f>
        <v>0</v>
      </c>
    </row>
    <row r="11" spans="1:6" x14ac:dyDescent="0.25">
      <c r="A11" s="24" t="s">
        <v>12</v>
      </c>
      <c r="B11" s="25"/>
      <c r="C11" s="25"/>
      <c r="D11" s="25"/>
      <c r="E11" s="25"/>
      <c r="F11" s="25"/>
    </row>
    <row r="12" spans="1:6" x14ac:dyDescent="0.25">
      <c r="A12" s="5" t="s">
        <v>43</v>
      </c>
      <c r="B12" s="5" t="s">
        <v>4</v>
      </c>
      <c r="C12" s="6" t="s">
        <v>5</v>
      </c>
      <c r="D12" s="7" t="s">
        <v>6</v>
      </c>
      <c r="E12" s="8" t="s">
        <v>7</v>
      </c>
      <c r="F12" s="9" t="s">
        <v>8</v>
      </c>
    </row>
    <row r="13" spans="1:6" ht="18.75" x14ac:dyDescent="0.3">
      <c r="A13" s="21" t="s">
        <v>46</v>
      </c>
      <c r="B13" s="16">
        <f>COUNTIF('Unit Tracker'!AT7:AT42,"Not Started")</f>
        <v>36</v>
      </c>
      <c r="C13" s="17">
        <f>COUNTIF('Unit Tracker'!AT7:AT42,"In Progress")</f>
        <v>0</v>
      </c>
      <c r="D13" s="18">
        <f>COUNTIF('Unit Tracker'!AT7:AT42,"Complete")</f>
        <v>0</v>
      </c>
      <c r="E13" s="19">
        <f>COUNTIF('Unit Tracker'!AT7:AT42,"Deficiency")</f>
        <v>0</v>
      </c>
      <c r="F13" s="20">
        <f>COUNTIF('Unit Tracker'!AT7:AT42,"On Hold")</f>
        <v>0</v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2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5" x14ac:dyDescent="0.25"/>
  <cols>
    <col min="1" max="1" width="9" customWidth="1"/>
    <col min="2" max="2" width="8.140625" customWidth="1"/>
    <col min="3" max="3" width="12" customWidth="1"/>
    <col min="4" max="4" width="20" customWidth="1"/>
    <col min="5" max="5" width="12" customWidth="1"/>
    <col min="6" max="6" width="20" customWidth="1"/>
    <col min="7" max="7" width="12" customWidth="1"/>
    <col min="8" max="8" width="20" customWidth="1"/>
    <col min="9" max="9" width="12" customWidth="1"/>
    <col min="10" max="10" width="20" customWidth="1"/>
    <col min="11" max="11" width="12" customWidth="1"/>
    <col min="12" max="12" width="20" customWidth="1"/>
    <col min="13" max="13" width="12" customWidth="1"/>
    <col min="14" max="14" width="20" customWidth="1"/>
    <col min="15" max="15" width="12" customWidth="1"/>
    <col min="16" max="16" width="20" customWidth="1"/>
    <col min="17" max="17" width="12" customWidth="1"/>
    <col min="18" max="18" width="20" customWidth="1"/>
    <col min="19" max="19" width="12" customWidth="1"/>
    <col min="20" max="20" width="20" customWidth="1"/>
    <col min="21" max="21" width="12" customWidth="1"/>
    <col min="22" max="22" width="20" customWidth="1"/>
    <col min="23" max="23" width="12" customWidth="1"/>
    <col min="24" max="24" width="20" customWidth="1"/>
    <col min="25" max="25" width="12" customWidth="1"/>
    <col min="26" max="26" width="20" customWidth="1"/>
    <col min="27" max="27" width="12" customWidth="1"/>
    <col min="28" max="28" width="20" customWidth="1"/>
    <col min="29" max="29" width="12" customWidth="1"/>
    <col min="30" max="30" width="20" customWidth="1"/>
    <col min="31" max="31" width="12" customWidth="1"/>
    <col min="32" max="32" width="20" customWidth="1"/>
    <col min="33" max="33" width="12" customWidth="1"/>
    <col min="34" max="34" width="20" customWidth="1"/>
    <col min="35" max="35" width="12" customWidth="1"/>
    <col min="36" max="36" width="20" customWidth="1"/>
    <col min="37" max="37" width="12" customWidth="1"/>
    <col min="38" max="38" width="20" customWidth="1"/>
    <col min="39" max="39" width="12" customWidth="1"/>
    <col min="40" max="40" width="20" customWidth="1"/>
    <col min="41" max="44" width="12" customWidth="1"/>
    <col min="45" max="45" width="19" customWidth="1"/>
    <col min="46" max="46" width="22.28515625" customWidth="1"/>
  </cols>
  <sheetData>
    <row r="1" spans="1:46" ht="30" customHeight="1" x14ac:dyDescent="0.25">
      <c r="A1" s="68"/>
      <c r="B1" s="68"/>
      <c r="C1" s="70" t="s">
        <v>13</v>
      </c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</row>
    <row r="2" spans="1:46" ht="18" customHeight="1" x14ac:dyDescent="0.25">
      <c r="A2" s="69"/>
      <c r="B2" s="69"/>
      <c r="C2" s="71" t="s">
        <v>14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</row>
    <row r="3" spans="1:46" ht="6" customHeight="1" thickBot="1" x14ac:dyDescent="0.3"/>
    <row r="4" spans="1:46" ht="20.100000000000001" customHeight="1" thickBot="1" x14ac:dyDescent="0.3">
      <c r="A4" s="41" t="s">
        <v>54</v>
      </c>
      <c r="B4" s="42"/>
      <c r="C4" s="41" t="s">
        <v>15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  <c r="O4" s="41" t="s">
        <v>16</v>
      </c>
      <c r="P4" s="45"/>
      <c r="Q4" s="45"/>
      <c r="R4" s="46"/>
      <c r="S4" s="41" t="s">
        <v>17</v>
      </c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6"/>
      <c r="AM4" s="41" t="s">
        <v>49</v>
      </c>
      <c r="AN4" s="46"/>
      <c r="AO4" s="41" t="s">
        <v>50</v>
      </c>
      <c r="AP4" s="45"/>
      <c r="AQ4" s="45"/>
      <c r="AR4" s="46"/>
      <c r="AS4" s="41" t="s">
        <v>53</v>
      </c>
      <c r="AT4" s="46"/>
    </row>
    <row r="5" spans="1:46" ht="27.95" customHeight="1" x14ac:dyDescent="0.25">
      <c r="A5" s="72"/>
      <c r="B5" s="73"/>
      <c r="C5" s="51" t="s">
        <v>20</v>
      </c>
      <c r="D5" s="34"/>
      <c r="E5" s="52" t="s">
        <v>21</v>
      </c>
      <c r="F5" s="34"/>
      <c r="G5" s="52" t="s">
        <v>22</v>
      </c>
      <c r="H5" s="34"/>
      <c r="I5" s="52" t="s">
        <v>23</v>
      </c>
      <c r="J5" s="34"/>
      <c r="K5" s="52" t="s">
        <v>24</v>
      </c>
      <c r="L5" s="34"/>
      <c r="M5" s="52" t="s">
        <v>25</v>
      </c>
      <c r="N5" s="35"/>
      <c r="O5" s="61" t="s">
        <v>26</v>
      </c>
      <c r="P5" s="40"/>
      <c r="Q5" s="39" t="s">
        <v>27</v>
      </c>
      <c r="R5" s="62"/>
      <c r="S5" s="61" t="s">
        <v>28</v>
      </c>
      <c r="T5" s="40"/>
      <c r="U5" s="39" t="s">
        <v>29</v>
      </c>
      <c r="V5" s="40"/>
      <c r="W5" s="39" t="s">
        <v>30</v>
      </c>
      <c r="X5" s="40"/>
      <c r="Y5" s="39" t="s">
        <v>31</v>
      </c>
      <c r="Z5" s="40"/>
      <c r="AA5" s="39" t="s">
        <v>32</v>
      </c>
      <c r="AB5" s="40"/>
      <c r="AC5" s="39" t="s">
        <v>33</v>
      </c>
      <c r="AD5" s="40"/>
      <c r="AE5" s="39" t="s">
        <v>34</v>
      </c>
      <c r="AF5" s="40"/>
      <c r="AG5" s="39" t="s">
        <v>35</v>
      </c>
      <c r="AH5" s="40"/>
      <c r="AI5" s="39" t="s">
        <v>36</v>
      </c>
      <c r="AJ5" s="40"/>
      <c r="AK5" s="39" t="s">
        <v>37</v>
      </c>
      <c r="AL5" s="62"/>
      <c r="AM5" s="61" t="s">
        <v>38</v>
      </c>
      <c r="AN5" s="40"/>
      <c r="AO5" s="43" t="s">
        <v>39</v>
      </c>
      <c r="AP5" s="43" t="s">
        <v>40</v>
      </c>
      <c r="AQ5" s="43" t="s">
        <v>41</v>
      </c>
      <c r="AR5" s="43" t="s">
        <v>42</v>
      </c>
      <c r="AS5" s="43" t="s">
        <v>51</v>
      </c>
      <c r="AT5" s="44" t="s">
        <v>52</v>
      </c>
    </row>
    <row r="6" spans="1:46" ht="14.1" customHeight="1" thickBot="1" x14ac:dyDescent="0.3">
      <c r="A6" s="36" t="s">
        <v>47</v>
      </c>
      <c r="B6" s="47" t="s">
        <v>48</v>
      </c>
      <c r="C6" s="36" t="s">
        <v>43</v>
      </c>
      <c r="D6" s="37" t="s">
        <v>44</v>
      </c>
      <c r="E6" s="37" t="s">
        <v>43</v>
      </c>
      <c r="F6" s="37" t="s">
        <v>44</v>
      </c>
      <c r="G6" s="37" t="s">
        <v>43</v>
      </c>
      <c r="H6" s="37" t="s">
        <v>44</v>
      </c>
      <c r="I6" s="37" t="s">
        <v>43</v>
      </c>
      <c r="J6" s="37" t="s">
        <v>44</v>
      </c>
      <c r="K6" s="37" t="s">
        <v>43</v>
      </c>
      <c r="L6" s="37" t="s">
        <v>44</v>
      </c>
      <c r="M6" s="37" t="s">
        <v>43</v>
      </c>
      <c r="N6" s="38" t="s">
        <v>44</v>
      </c>
      <c r="O6" s="36" t="s">
        <v>43</v>
      </c>
      <c r="P6" s="37" t="s">
        <v>44</v>
      </c>
      <c r="Q6" s="37" t="s">
        <v>43</v>
      </c>
      <c r="R6" s="38" t="s">
        <v>44</v>
      </c>
      <c r="S6" s="36" t="s">
        <v>43</v>
      </c>
      <c r="T6" s="37" t="s">
        <v>44</v>
      </c>
      <c r="U6" s="37" t="s">
        <v>43</v>
      </c>
      <c r="V6" s="37" t="s">
        <v>44</v>
      </c>
      <c r="W6" s="37" t="s">
        <v>43</v>
      </c>
      <c r="X6" s="37" t="s">
        <v>44</v>
      </c>
      <c r="Y6" s="37" t="s">
        <v>43</v>
      </c>
      <c r="Z6" s="37" t="s">
        <v>44</v>
      </c>
      <c r="AA6" s="37" t="s">
        <v>43</v>
      </c>
      <c r="AB6" s="37" t="s">
        <v>44</v>
      </c>
      <c r="AC6" s="37" t="s">
        <v>43</v>
      </c>
      <c r="AD6" s="37" t="s">
        <v>44</v>
      </c>
      <c r="AE6" s="37" t="s">
        <v>43</v>
      </c>
      <c r="AF6" s="37" t="s">
        <v>44</v>
      </c>
      <c r="AG6" s="37" t="s">
        <v>43</v>
      </c>
      <c r="AH6" s="37" t="s">
        <v>44</v>
      </c>
      <c r="AI6" s="37" t="s">
        <v>43</v>
      </c>
      <c r="AJ6" s="37" t="s">
        <v>44</v>
      </c>
      <c r="AK6" s="37" t="s">
        <v>43</v>
      </c>
      <c r="AL6" s="38" t="s">
        <v>44</v>
      </c>
      <c r="AM6" s="36" t="s">
        <v>43</v>
      </c>
      <c r="AN6" s="37" t="s">
        <v>44</v>
      </c>
      <c r="AO6" s="37" t="s">
        <v>43</v>
      </c>
      <c r="AP6" s="37" t="s">
        <v>43</v>
      </c>
      <c r="AQ6" s="37" t="s">
        <v>43</v>
      </c>
      <c r="AR6" s="37" t="s">
        <v>43</v>
      </c>
      <c r="AS6" s="37" t="s">
        <v>18</v>
      </c>
      <c r="AT6" s="38" t="s">
        <v>19</v>
      </c>
    </row>
    <row r="7" spans="1:46" x14ac:dyDescent="0.25">
      <c r="A7" s="29">
        <v>1</v>
      </c>
      <c r="B7" s="48">
        <v>101</v>
      </c>
      <c r="C7" s="53" t="s">
        <v>4</v>
      </c>
      <c r="D7" s="30"/>
      <c r="E7" s="31" t="s">
        <v>4</v>
      </c>
      <c r="F7" s="30"/>
      <c r="G7" s="31" t="s">
        <v>4</v>
      </c>
      <c r="H7" s="30"/>
      <c r="I7" s="31" t="s">
        <v>4</v>
      </c>
      <c r="J7" s="30"/>
      <c r="K7" s="31" t="s">
        <v>4</v>
      </c>
      <c r="L7" s="30"/>
      <c r="M7" s="31" t="s">
        <v>4</v>
      </c>
      <c r="N7" s="54"/>
      <c r="O7" s="53" t="s">
        <v>4</v>
      </c>
      <c r="P7" s="30"/>
      <c r="Q7" s="31" t="s">
        <v>4</v>
      </c>
      <c r="R7" s="54"/>
      <c r="S7" s="53" t="s">
        <v>4</v>
      </c>
      <c r="T7" s="30"/>
      <c r="U7" s="31" t="s">
        <v>4</v>
      </c>
      <c r="V7" s="30"/>
      <c r="W7" s="31" t="s">
        <v>4</v>
      </c>
      <c r="X7" s="30"/>
      <c r="Y7" s="31" t="s">
        <v>4</v>
      </c>
      <c r="Z7" s="30"/>
      <c r="AA7" s="31" t="s">
        <v>4</v>
      </c>
      <c r="AB7" s="30"/>
      <c r="AC7" s="31" t="s">
        <v>4</v>
      </c>
      <c r="AD7" s="30"/>
      <c r="AE7" s="31" t="s">
        <v>4</v>
      </c>
      <c r="AF7" s="30"/>
      <c r="AG7" s="31" t="s">
        <v>4</v>
      </c>
      <c r="AH7" s="30"/>
      <c r="AI7" s="31" t="s">
        <v>4</v>
      </c>
      <c r="AJ7" s="30"/>
      <c r="AK7" s="31" t="s">
        <v>4</v>
      </c>
      <c r="AL7" s="54"/>
      <c r="AM7" s="53" t="s">
        <v>4</v>
      </c>
      <c r="AN7" s="30"/>
      <c r="AO7" s="32" t="str">
        <f t="shared" ref="AO7:AO42" si="0">IF((COUNTIF(C7,"Deficiency")+COUNTIF(E7,"Deficiency")+COUNTIF(G7,"Deficiency")+COUNTIF(I7,"Deficiency")+COUNTIF(K7,"Deficiency")+COUNTIF(M7,"Deficiency"))&gt;0,"Deficiency",IF((COUNTIF(C7,"On Hold")+COUNTIF(E7,"On Hold")+COUNTIF(G7,"On Hold")+COUNTIF(I7,"On Hold")+COUNTIF(K7,"On Hold")+COUNTIF(M7,"On Hold"))&gt;0,"On Hold",IF((COUNTIF(C7,"In Progress")+COUNTIF(E7,"In Progress")+COUNTIF(G7,"In Progress")+COUNTIF(I7,"In Progress")+COUNTIF(K7,"In Progress")+COUNTIF(M7,"In Progress"))&gt;0,"In Progress",IF((COUNTIF(C7,"Not Started")+COUNTIF(E7,"Not Started")+COUNTIF(G7,"Not Started")+COUNTIF(I7,"Not Started")+COUNTIF(K7,"Not Started")+COUNTIF(M7,"Not Started"))=6,"Not Started","Complete"))))</f>
        <v>Not Started</v>
      </c>
      <c r="AP7" s="32" t="str">
        <f t="shared" ref="AP7:AP42" si="1">IF((COUNTIF(O7,"Deficiency")+COUNTIF(Q7,"Deficiency"))&gt;0,"Deficiency",IF((COUNTIF(O7,"On Hold")+COUNTIF(Q7,"On Hold"))&gt;0,"On Hold",IF((COUNTIF(O7,"In Progress")+COUNTIF(Q7,"In Progress"))&gt;0,"In Progress",IF((COUNTIF(O7,"Not Started")+COUNTIF(Q7,"Not Started"))=2,"Not Started","Complete"))))</f>
        <v>Not Started</v>
      </c>
      <c r="AQ7" s="32" t="str">
        <f t="shared" ref="AQ7:AQ42" si="2">IF((COUNTIF(S7,"Deficiency")+COUNTIF(U7,"Deficiency")+COUNTIF(W7,"Deficiency")+COUNTIF(Y7,"Deficiency")+COUNTIF(AA7,"Deficiency")+COUNTIF(AC7,"Deficiency")+COUNTIF(AE7,"Deficiency")+COUNTIF(AG7,"Deficiency")+COUNTIF(AI7,"Deficiency")+COUNTIF(AK7,"Deficiency"))&gt;0,"Deficiency",IF((COUNTIF(S7,"On Hold")+COUNTIF(U7,"On Hold")+COUNTIF(W7,"On Hold")+COUNTIF(Y7,"On Hold")+COUNTIF(AA7,"On Hold")+COUNTIF(AC7,"On Hold")+COUNTIF(AE7,"On Hold")+COUNTIF(AG7,"On Hold")+COUNTIF(AI7,"On Hold")+COUNTIF(AK7,"On Hold"))&gt;0,"On Hold",IF((COUNTIF(S7,"In Progress")+COUNTIF(U7,"In Progress")+COUNTIF(W7,"In Progress")+COUNTIF(Y7,"In Progress")+COUNTIF(AA7,"In Progress")+COUNTIF(AC7,"In Progress")+COUNTIF(AE7,"In Progress")+COUNTIF(AG7,"In Progress")+COUNTIF(AI7,"In Progress")+COUNTIF(AK7,"In Progress"))&gt;0,"In Progress",IF((COUNTIF(S7,"Not Started")+COUNTIF(U7,"Not Started")+COUNTIF(W7,"Not Started")+COUNTIF(Y7,"Not Started")+COUNTIF(AA7,"Not Started")+COUNTIF(AC7,"Not Started")+COUNTIF(AE7,"Not Started")+COUNTIF(AG7,"Not Started")+COUNTIF(AI7,"Not Started")+COUNTIF(AK7,"Not Started"))=10,"Not Started","Complete"))))</f>
        <v>Not Started</v>
      </c>
      <c r="AR7" s="32" t="str">
        <f t="shared" ref="AR7:AR42" si="3">IF((COUNTIF(AM7,"Deficiency"))&gt;0,"Deficiency",IF((COUNTIF(AM7,"On Hold"))&gt;0,"On Hold",IF((COUNTIF(AM7,"In Progress"))&gt;0,"In Progress",IF((COUNTIF(AM7,"Not Started"))=1,"Not Started","Complete"))))</f>
        <v>Not Started</v>
      </c>
      <c r="AS7" s="33"/>
      <c r="AT7" s="63" t="str">
        <f t="shared" ref="AT7:AT42" si="4">IF((COUNTIF(AO7,"Deficiency")+COUNTIF(AP7,"Deficiency")+COUNTIF(AQ7,"Deficiency")+COUNTIF(AR7,"Deficiency"))&gt;0,"Deficiency",IF((COUNTIF(AO7,"On Hold")+COUNTIF(AP7,"On Hold")+COUNTIF(AQ7,"On Hold")+COUNTIF(AR7,"On Hold"))&gt;0,"On Hold",IF((COUNTIF(AO7,"In Progress")+COUNTIF(AP7,"In Progress")+COUNTIF(AQ7,"In Progress")+COUNTIF(AR7,"In Progress"))&gt;0,"In Progress",IF((COUNTIF(AO7,"Not Started")+COUNTIF(AP7,"Not Started")+COUNTIF(AQ7,"Not Started")+COUNTIF(AR7,"Not Started"))=4,"Not Started","Complete"))))</f>
        <v>Not Started</v>
      </c>
    </row>
    <row r="8" spans="1:46" x14ac:dyDescent="0.25">
      <c r="A8" s="27">
        <v>1</v>
      </c>
      <c r="B8" s="49">
        <v>102</v>
      </c>
      <c r="C8" s="55" t="s">
        <v>4</v>
      </c>
      <c r="D8" s="2"/>
      <c r="E8" s="1" t="s">
        <v>4</v>
      </c>
      <c r="F8" s="2"/>
      <c r="G8" s="1" t="s">
        <v>4</v>
      </c>
      <c r="H8" s="2"/>
      <c r="I8" s="1" t="s">
        <v>4</v>
      </c>
      <c r="J8" s="2"/>
      <c r="K8" s="1" t="s">
        <v>4</v>
      </c>
      <c r="L8" s="2"/>
      <c r="M8" s="1" t="s">
        <v>4</v>
      </c>
      <c r="N8" s="56"/>
      <c r="O8" s="55" t="s">
        <v>4</v>
      </c>
      <c r="P8" s="2"/>
      <c r="Q8" s="1" t="s">
        <v>4</v>
      </c>
      <c r="R8" s="56"/>
      <c r="S8" s="55" t="s">
        <v>4</v>
      </c>
      <c r="T8" s="2"/>
      <c r="U8" s="1" t="s">
        <v>4</v>
      </c>
      <c r="V8" s="2"/>
      <c r="W8" s="1" t="s">
        <v>4</v>
      </c>
      <c r="X8" s="2"/>
      <c r="Y8" s="1" t="s">
        <v>4</v>
      </c>
      <c r="Z8" s="2"/>
      <c r="AA8" s="1" t="s">
        <v>4</v>
      </c>
      <c r="AB8" s="2"/>
      <c r="AC8" s="1" t="s">
        <v>4</v>
      </c>
      <c r="AD8" s="2"/>
      <c r="AE8" s="1" t="s">
        <v>4</v>
      </c>
      <c r="AF8" s="2"/>
      <c r="AG8" s="1" t="s">
        <v>4</v>
      </c>
      <c r="AH8" s="2"/>
      <c r="AI8" s="1" t="s">
        <v>4</v>
      </c>
      <c r="AJ8" s="2"/>
      <c r="AK8" s="1" t="s">
        <v>4</v>
      </c>
      <c r="AL8" s="56"/>
      <c r="AM8" s="55" t="s">
        <v>4</v>
      </c>
      <c r="AN8" s="2"/>
      <c r="AO8" s="4" t="str">
        <f t="shared" si="0"/>
        <v>Not Started</v>
      </c>
      <c r="AP8" s="4" t="str">
        <f t="shared" si="1"/>
        <v>Not Started</v>
      </c>
      <c r="AQ8" s="4" t="str">
        <f t="shared" si="2"/>
        <v>Not Started</v>
      </c>
      <c r="AR8" s="4" t="str">
        <f t="shared" si="3"/>
        <v>Not Started</v>
      </c>
      <c r="AS8" s="3"/>
      <c r="AT8" s="64" t="str">
        <f t="shared" si="4"/>
        <v>Not Started</v>
      </c>
    </row>
    <row r="9" spans="1:46" x14ac:dyDescent="0.25">
      <c r="A9" s="27">
        <v>1</v>
      </c>
      <c r="B9" s="49">
        <v>103</v>
      </c>
      <c r="C9" s="55" t="s">
        <v>4</v>
      </c>
      <c r="D9" s="2"/>
      <c r="E9" s="1" t="s">
        <v>4</v>
      </c>
      <c r="F9" s="2"/>
      <c r="G9" s="1" t="s">
        <v>4</v>
      </c>
      <c r="H9" s="2"/>
      <c r="I9" s="1" t="s">
        <v>4</v>
      </c>
      <c r="J9" s="2"/>
      <c r="K9" s="1" t="s">
        <v>4</v>
      </c>
      <c r="L9" s="2"/>
      <c r="M9" s="1" t="s">
        <v>4</v>
      </c>
      <c r="N9" s="56"/>
      <c r="O9" s="55" t="s">
        <v>4</v>
      </c>
      <c r="P9" s="2"/>
      <c r="Q9" s="1" t="s">
        <v>4</v>
      </c>
      <c r="R9" s="56"/>
      <c r="S9" s="55" t="s">
        <v>4</v>
      </c>
      <c r="T9" s="2"/>
      <c r="U9" s="1" t="s">
        <v>4</v>
      </c>
      <c r="V9" s="2"/>
      <c r="W9" s="1" t="s">
        <v>4</v>
      </c>
      <c r="X9" s="2"/>
      <c r="Y9" s="1" t="s">
        <v>4</v>
      </c>
      <c r="Z9" s="2"/>
      <c r="AA9" s="1" t="s">
        <v>4</v>
      </c>
      <c r="AB9" s="2"/>
      <c r="AC9" s="1" t="s">
        <v>4</v>
      </c>
      <c r="AD9" s="2"/>
      <c r="AE9" s="1" t="s">
        <v>4</v>
      </c>
      <c r="AF9" s="2"/>
      <c r="AG9" s="1" t="s">
        <v>4</v>
      </c>
      <c r="AH9" s="2"/>
      <c r="AI9" s="1" t="s">
        <v>4</v>
      </c>
      <c r="AJ9" s="2"/>
      <c r="AK9" s="1" t="s">
        <v>4</v>
      </c>
      <c r="AL9" s="56"/>
      <c r="AM9" s="55" t="s">
        <v>4</v>
      </c>
      <c r="AN9" s="2"/>
      <c r="AO9" s="4" t="str">
        <f t="shared" si="0"/>
        <v>Not Started</v>
      </c>
      <c r="AP9" s="4" t="str">
        <f t="shared" si="1"/>
        <v>Not Started</v>
      </c>
      <c r="AQ9" s="4" t="str">
        <f t="shared" si="2"/>
        <v>Not Started</v>
      </c>
      <c r="AR9" s="4" t="str">
        <f t="shared" si="3"/>
        <v>Not Started</v>
      </c>
      <c r="AS9" s="3"/>
      <c r="AT9" s="64" t="str">
        <f t="shared" si="4"/>
        <v>Not Started</v>
      </c>
    </row>
    <row r="10" spans="1:46" x14ac:dyDescent="0.25">
      <c r="A10" s="27">
        <v>1</v>
      </c>
      <c r="B10" s="49">
        <v>104</v>
      </c>
      <c r="C10" s="55" t="s">
        <v>4</v>
      </c>
      <c r="D10" s="2"/>
      <c r="E10" s="1" t="s">
        <v>4</v>
      </c>
      <c r="F10" s="2"/>
      <c r="G10" s="1" t="s">
        <v>4</v>
      </c>
      <c r="H10" s="2"/>
      <c r="I10" s="1" t="s">
        <v>4</v>
      </c>
      <c r="J10" s="2"/>
      <c r="K10" s="1" t="s">
        <v>4</v>
      </c>
      <c r="L10" s="2"/>
      <c r="M10" s="1" t="s">
        <v>4</v>
      </c>
      <c r="N10" s="56"/>
      <c r="O10" s="55" t="s">
        <v>4</v>
      </c>
      <c r="P10" s="2"/>
      <c r="Q10" s="1" t="s">
        <v>4</v>
      </c>
      <c r="R10" s="56"/>
      <c r="S10" s="55" t="s">
        <v>4</v>
      </c>
      <c r="T10" s="2"/>
      <c r="U10" s="1" t="s">
        <v>4</v>
      </c>
      <c r="V10" s="2"/>
      <c r="W10" s="1" t="s">
        <v>4</v>
      </c>
      <c r="X10" s="2"/>
      <c r="Y10" s="1" t="s">
        <v>4</v>
      </c>
      <c r="Z10" s="2"/>
      <c r="AA10" s="1" t="s">
        <v>4</v>
      </c>
      <c r="AB10" s="2"/>
      <c r="AC10" s="1" t="s">
        <v>4</v>
      </c>
      <c r="AD10" s="2"/>
      <c r="AE10" s="1" t="s">
        <v>4</v>
      </c>
      <c r="AF10" s="2"/>
      <c r="AG10" s="1" t="s">
        <v>4</v>
      </c>
      <c r="AH10" s="2"/>
      <c r="AI10" s="1" t="s">
        <v>4</v>
      </c>
      <c r="AJ10" s="2"/>
      <c r="AK10" s="1" t="s">
        <v>4</v>
      </c>
      <c r="AL10" s="56"/>
      <c r="AM10" s="55" t="s">
        <v>4</v>
      </c>
      <c r="AN10" s="2"/>
      <c r="AO10" s="4" t="str">
        <f t="shared" si="0"/>
        <v>Not Started</v>
      </c>
      <c r="AP10" s="4" t="str">
        <f t="shared" si="1"/>
        <v>Not Started</v>
      </c>
      <c r="AQ10" s="4" t="str">
        <f t="shared" si="2"/>
        <v>Not Started</v>
      </c>
      <c r="AR10" s="4" t="str">
        <f t="shared" si="3"/>
        <v>Not Started</v>
      </c>
      <c r="AS10" s="3"/>
      <c r="AT10" s="64" t="str">
        <f t="shared" si="4"/>
        <v>Not Started</v>
      </c>
    </row>
    <row r="11" spans="1:46" x14ac:dyDescent="0.25">
      <c r="A11" s="27">
        <v>1</v>
      </c>
      <c r="B11" s="49">
        <v>105</v>
      </c>
      <c r="C11" s="55" t="s">
        <v>4</v>
      </c>
      <c r="D11" s="2"/>
      <c r="E11" s="1" t="s">
        <v>4</v>
      </c>
      <c r="F11" s="2"/>
      <c r="G11" s="1" t="s">
        <v>4</v>
      </c>
      <c r="H11" s="2"/>
      <c r="I11" s="1" t="s">
        <v>4</v>
      </c>
      <c r="J11" s="2"/>
      <c r="K11" s="1" t="s">
        <v>4</v>
      </c>
      <c r="L11" s="2"/>
      <c r="M11" s="1" t="s">
        <v>4</v>
      </c>
      <c r="N11" s="56"/>
      <c r="O11" s="55" t="s">
        <v>4</v>
      </c>
      <c r="P11" s="2"/>
      <c r="Q11" s="1" t="s">
        <v>4</v>
      </c>
      <c r="R11" s="56"/>
      <c r="S11" s="55" t="s">
        <v>4</v>
      </c>
      <c r="T11" s="2"/>
      <c r="U11" s="1" t="s">
        <v>4</v>
      </c>
      <c r="V11" s="2"/>
      <c r="W11" s="1" t="s">
        <v>4</v>
      </c>
      <c r="X11" s="2"/>
      <c r="Y11" s="1" t="s">
        <v>4</v>
      </c>
      <c r="Z11" s="2"/>
      <c r="AA11" s="1" t="s">
        <v>4</v>
      </c>
      <c r="AB11" s="2"/>
      <c r="AC11" s="1" t="s">
        <v>4</v>
      </c>
      <c r="AD11" s="2"/>
      <c r="AE11" s="1" t="s">
        <v>4</v>
      </c>
      <c r="AF11" s="2"/>
      <c r="AG11" s="1" t="s">
        <v>4</v>
      </c>
      <c r="AH11" s="2"/>
      <c r="AI11" s="1" t="s">
        <v>4</v>
      </c>
      <c r="AJ11" s="2"/>
      <c r="AK11" s="1" t="s">
        <v>4</v>
      </c>
      <c r="AL11" s="56"/>
      <c r="AM11" s="55" t="s">
        <v>4</v>
      </c>
      <c r="AN11" s="2"/>
      <c r="AO11" s="4" t="str">
        <f t="shared" si="0"/>
        <v>Not Started</v>
      </c>
      <c r="AP11" s="4" t="str">
        <f t="shared" si="1"/>
        <v>Not Started</v>
      </c>
      <c r="AQ11" s="4" t="str">
        <f t="shared" si="2"/>
        <v>Not Started</v>
      </c>
      <c r="AR11" s="4" t="str">
        <f t="shared" si="3"/>
        <v>Not Started</v>
      </c>
      <c r="AS11" s="3"/>
      <c r="AT11" s="64" t="str">
        <f t="shared" si="4"/>
        <v>Not Started</v>
      </c>
    </row>
    <row r="12" spans="1:46" x14ac:dyDescent="0.25">
      <c r="A12" s="27">
        <v>1</v>
      </c>
      <c r="B12" s="49">
        <v>106</v>
      </c>
      <c r="C12" s="55" t="s">
        <v>4</v>
      </c>
      <c r="D12" s="2"/>
      <c r="E12" s="1" t="s">
        <v>4</v>
      </c>
      <c r="F12" s="2"/>
      <c r="G12" s="1" t="s">
        <v>4</v>
      </c>
      <c r="H12" s="2"/>
      <c r="I12" s="1" t="s">
        <v>4</v>
      </c>
      <c r="J12" s="2"/>
      <c r="K12" s="1" t="s">
        <v>4</v>
      </c>
      <c r="L12" s="2"/>
      <c r="M12" s="1" t="s">
        <v>4</v>
      </c>
      <c r="N12" s="56"/>
      <c r="O12" s="55" t="s">
        <v>4</v>
      </c>
      <c r="P12" s="2"/>
      <c r="Q12" s="1" t="s">
        <v>4</v>
      </c>
      <c r="R12" s="56"/>
      <c r="S12" s="55" t="s">
        <v>4</v>
      </c>
      <c r="T12" s="2"/>
      <c r="U12" s="1" t="s">
        <v>4</v>
      </c>
      <c r="V12" s="2"/>
      <c r="W12" s="1" t="s">
        <v>4</v>
      </c>
      <c r="X12" s="2"/>
      <c r="Y12" s="1" t="s">
        <v>4</v>
      </c>
      <c r="Z12" s="2"/>
      <c r="AA12" s="1" t="s">
        <v>4</v>
      </c>
      <c r="AB12" s="2"/>
      <c r="AC12" s="1" t="s">
        <v>4</v>
      </c>
      <c r="AD12" s="2"/>
      <c r="AE12" s="1" t="s">
        <v>4</v>
      </c>
      <c r="AF12" s="2"/>
      <c r="AG12" s="1" t="s">
        <v>4</v>
      </c>
      <c r="AH12" s="2"/>
      <c r="AI12" s="1" t="s">
        <v>4</v>
      </c>
      <c r="AJ12" s="2"/>
      <c r="AK12" s="1" t="s">
        <v>4</v>
      </c>
      <c r="AL12" s="56"/>
      <c r="AM12" s="55" t="s">
        <v>4</v>
      </c>
      <c r="AN12" s="2"/>
      <c r="AO12" s="4" t="str">
        <f t="shared" si="0"/>
        <v>Not Started</v>
      </c>
      <c r="AP12" s="4" t="str">
        <f t="shared" si="1"/>
        <v>Not Started</v>
      </c>
      <c r="AQ12" s="4" t="str">
        <f t="shared" si="2"/>
        <v>Not Started</v>
      </c>
      <c r="AR12" s="4" t="str">
        <f t="shared" si="3"/>
        <v>Not Started</v>
      </c>
      <c r="AS12" s="3"/>
      <c r="AT12" s="64" t="str">
        <f t="shared" si="4"/>
        <v>Not Started</v>
      </c>
    </row>
    <row r="13" spans="1:46" x14ac:dyDescent="0.25">
      <c r="A13" s="27">
        <v>1</v>
      </c>
      <c r="B13" s="49">
        <v>107</v>
      </c>
      <c r="C13" s="55" t="s">
        <v>4</v>
      </c>
      <c r="D13" s="2"/>
      <c r="E13" s="1" t="s">
        <v>4</v>
      </c>
      <c r="F13" s="2"/>
      <c r="G13" s="1" t="s">
        <v>4</v>
      </c>
      <c r="H13" s="2"/>
      <c r="I13" s="1" t="s">
        <v>4</v>
      </c>
      <c r="J13" s="2"/>
      <c r="K13" s="1" t="s">
        <v>4</v>
      </c>
      <c r="L13" s="2"/>
      <c r="M13" s="1" t="s">
        <v>4</v>
      </c>
      <c r="N13" s="56"/>
      <c r="O13" s="55" t="s">
        <v>4</v>
      </c>
      <c r="P13" s="2"/>
      <c r="Q13" s="1" t="s">
        <v>4</v>
      </c>
      <c r="R13" s="56"/>
      <c r="S13" s="55" t="s">
        <v>4</v>
      </c>
      <c r="T13" s="2"/>
      <c r="U13" s="1" t="s">
        <v>4</v>
      </c>
      <c r="V13" s="2"/>
      <c r="W13" s="1" t="s">
        <v>4</v>
      </c>
      <c r="X13" s="2"/>
      <c r="Y13" s="1" t="s">
        <v>4</v>
      </c>
      <c r="Z13" s="2"/>
      <c r="AA13" s="1" t="s">
        <v>4</v>
      </c>
      <c r="AB13" s="2"/>
      <c r="AC13" s="1" t="s">
        <v>4</v>
      </c>
      <c r="AD13" s="2"/>
      <c r="AE13" s="1" t="s">
        <v>4</v>
      </c>
      <c r="AF13" s="2"/>
      <c r="AG13" s="1" t="s">
        <v>4</v>
      </c>
      <c r="AH13" s="2"/>
      <c r="AI13" s="1" t="s">
        <v>4</v>
      </c>
      <c r="AJ13" s="2"/>
      <c r="AK13" s="1" t="s">
        <v>4</v>
      </c>
      <c r="AL13" s="56"/>
      <c r="AM13" s="55" t="s">
        <v>4</v>
      </c>
      <c r="AN13" s="2"/>
      <c r="AO13" s="4" t="str">
        <f t="shared" si="0"/>
        <v>Not Started</v>
      </c>
      <c r="AP13" s="4" t="str">
        <f t="shared" si="1"/>
        <v>Not Started</v>
      </c>
      <c r="AQ13" s="4" t="str">
        <f t="shared" si="2"/>
        <v>Not Started</v>
      </c>
      <c r="AR13" s="4" t="str">
        <f t="shared" si="3"/>
        <v>Not Started</v>
      </c>
      <c r="AS13" s="3"/>
      <c r="AT13" s="64" t="str">
        <f t="shared" si="4"/>
        <v>Not Started</v>
      </c>
    </row>
    <row r="14" spans="1:46" x14ac:dyDescent="0.25">
      <c r="A14" s="27">
        <v>1</v>
      </c>
      <c r="B14" s="49">
        <v>108</v>
      </c>
      <c r="C14" s="55" t="s">
        <v>4</v>
      </c>
      <c r="D14" s="2"/>
      <c r="E14" s="1" t="s">
        <v>4</v>
      </c>
      <c r="F14" s="2"/>
      <c r="G14" s="1" t="s">
        <v>4</v>
      </c>
      <c r="H14" s="2"/>
      <c r="I14" s="1" t="s">
        <v>4</v>
      </c>
      <c r="J14" s="2"/>
      <c r="K14" s="1" t="s">
        <v>4</v>
      </c>
      <c r="L14" s="2"/>
      <c r="M14" s="1" t="s">
        <v>4</v>
      </c>
      <c r="N14" s="56"/>
      <c r="O14" s="55" t="s">
        <v>4</v>
      </c>
      <c r="P14" s="2"/>
      <c r="Q14" s="1" t="s">
        <v>4</v>
      </c>
      <c r="R14" s="56"/>
      <c r="S14" s="55" t="s">
        <v>4</v>
      </c>
      <c r="T14" s="2"/>
      <c r="U14" s="1" t="s">
        <v>4</v>
      </c>
      <c r="V14" s="2"/>
      <c r="W14" s="1" t="s">
        <v>4</v>
      </c>
      <c r="X14" s="2"/>
      <c r="Y14" s="1" t="s">
        <v>4</v>
      </c>
      <c r="Z14" s="2"/>
      <c r="AA14" s="1" t="s">
        <v>4</v>
      </c>
      <c r="AB14" s="2"/>
      <c r="AC14" s="1" t="s">
        <v>4</v>
      </c>
      <c r="AD14" s="2"/>
      <c r="AE14" s="1" t="s">
        <v>4</v>
      </c>
      <c r="AF14" s="2"/>
      <c r="AG14" s="1" t="s">
        <v>4</v>
      </c>
      <c r="AH14" s="2"/>
      <c r="AI14" s="1" t="s">
        <v>4</v>
      </c>
      <c r="AJ14" s="2"/>
      <c r="AK14" s="1" t="s">
        <v>4</v>
      </c>
      <c r="AL14" s="56"/>
      <c r="AM14" s="55" t="s">
        <v>4</v>
      </c>
      <c r="AN14" s="2"/>
      <c r="AO14" s="4" t="str">
        <f t="shared" si="0"/>
        <v>Not Started</v>
      </c>
      <c r="AP14" s="4" t="str">
        <f t="shared" si="1"/>
        <v>Not Started</v>
      </c>
      <c r="AQ14" s="4" t="str">
        <f t="shared" si="2"/>
        <v>Not Started</v>
      </c>
      <c r="AR14" s="4" t="str">
        <f t="shared" si="3"/>
        <v>Not Started</v>
      </c>
      <c r="AS14" s="3"/>
      <c r="AT14" s="64" t="str">
        <f t="shared" si="4"/>
        <v>Not Started</v>
      </c>
    </row>
    <row r="15" spans="1:46" x14ac:dyDescent="0.25">
      <c r="A15" s="27">
        <v>1</v>
      </c>
      <c r="B15" s="49">
        <v>109</v>
      </c>
      <c r="C15" s="55" t="s">
        <v>4</v>
      </c>
      <c r="D15" s="2"/>
      <c r="E15" s="1" t="s">
        <v>4</v>
      </c>
      <c r="F15" s="2"/>
      <c r="G15" s="1" t="s">
        <v>4</v>
      </c>
      <c r="H15" s="2"/>
      <c r="I15" s="1" t="s">
        <v>4</v>
      </c>
      <c r="J15" s="2"/>
      <c r="K15" s="1" t="s">
        <v>4</v>
      </c>
      <c r="L15" s="2"/>
      <c r="M15" s="1" t="s">
        <v>4</v>
      </c>
      <c r="N15" s="56"/>
      <c r="O15" s="55" t="s">
        <v>4</v>
      </c>
      <c r="P15" s="2"/>
      <c r="Q15" s="1" t="s">
        <v>4</v>
      </c>
      <c r="R15" s="56"/>
      <c r="S15" s="55" t="s">
        <v>4</v>
      </c>
      <c r="T15" s="2"/>
      <c r="U15" s="1" t="s">
        <v>4</v>
      </c>
      <c r="V15" s="2"/>
      <c r="W15" s="1" t="s">
        <v>4</v>
      </c>
      <c r="X15" s="2"/>
      <c r="Y15" s="1" t="s">
        <v>4</v>
      </c>
      <c r="Z15" s="2"/>
      <c r="AA15" s="1" t="s">
        <v>4</v>
      </c>
      <c r="AB15" s="2"/>
      <c r="AC15" s="1" t="s">
        <v>4</v>
      </c>
      <c r="AD15" s="2"/>
      <c r="AE15" s="1" t="s">
        <v>4</v>
      </c>
      <c r="AF15" s="2"/>
      <c r="AG15" s="1" t="s">
        <v>4</v>
      </c>
      <c r="AH15" s="2"/>
      <c r="AI15" s="1" t="s">
        <v>4</v>
      </c>
      <c r="AJ15" s="2"/>
      <c r="AK15" s="1" t="s">
        <v>4</v>
      </c>
      <c r="AL15" s="56"/>
      <c r="AM15" s="55" t="s">
        <v>4</v>
      </c>
      <c r="AN15" s="2"/>
      <c r="AO15" s="4" t="str">
        <f t="shared" si="0"/>
        <v>Not Started</v>
      </c>
      <c r="AP15" s="4" t="str">
        <f t="shared" si="1"/>
        <v>Not Started</v>
      </c>
      <c r="AQ15" s="4" t="str">
        <f t="shared" si="2"/>
        <v>Not Started</v>
      </c>
      <c r="AR15" s="4" t="str">
        <f t="shared" si="3"/>
        <v>Not Started</v>
      </c>
      <c r="AS15" s="3"/>
      <c r="AT15" s="64" t="str">
        <f t="shared" si="4"/>
        <v>Not Started</v>
      </c>
    </row>
    <row r="16" spans="1:46" x14ac:dyDescent="0.25">
      <c r="A16" s="27">
        <v>1</v>
      </c>
      <c r="B16" s="49">
        <v>110</v>
      </c>
      <c r="C16" s="55" t="s">
        <v>4</v>
      </c>
      <c r="D16" s="2"/>
      <c r="E16" s="1" t="s">
        <v>4</v>
      </c>
      <c r="F16" s="2"/>
      <c r="G16" s="1" t="s">
        <v>4</v>
      </c>
      <c r="H16" s="2"/>
      <c r="I16" s="1" t="s">
        <v>4</v>
      </c>
      <c r="J16" s="2"/>
      <c r="K16" s="1" t="s">
        <v>4</v>
      </c>
      <c r="L16" s="2"/>
      <c r="M16" s="1" t="s">
        <v>4</v>
      </c>
      <c r="N16" s="56"/>
      <c r="O16" s="55" t="s">
        <v>4</v>
      </c>
      <c r="P16" s="2"/>
      <c r="Q16" s="1" t="s">
        <v>4</v>
      </c>
      <c r="R16" s="56"/>
      <c r="S16" s="55" t="s">
        <v>4</v>
      </c>
      <c r="T16" s="2"/>
      <c r="U16" s="1" t="s">
        <v>4</v>
      </c>
      <c r="V16" s="2"/>
      <c r="W16" s="1" t="s">
        <v>4</v>
      </c>
      <c r="X16" s="2"/>
      <c r="Y16" s="1" t="s">
        <v>4</v>
      </c>
      <c r="Z16" s="2"/>
      <c r="AA16" s="1" t="s">
        <v>4</v>
      </c>
      <c r="AB16" s="2"/>
      <c r="AC16" s="1" t="s">
        <v>4</v>
      </c>
      <c r="AD16" s="2"/>
      <c r="AE16" s="1" t="s">
        <v>4</v>
      </c>
      <c r="AF16" s="2"/>
      <c r="AG16" s="1" t="s">
        <v>4</v>
      </c>
      <c r="AH16" s="2"/>
      <c r="AI16" s="1" t="s">
        <v>4</v>
      </c>
      <c r="AJ16" s="2"/>
      <c r="AK16" s="1" t="s">
        <v>4</v>
      </c>
      <c r="AL16" s="56"/>
      <c r="AM16" s="55" t="s">
        <v>4</v>
      </c>
      <c r="AN16" s="2"/>
      <c r="AO16" s="4" t="str">
        <f t="shared" si="0"/>
        <v>Not Started</v>
      </c>
      <c r="AP16" s="4" t="str">
        <f t="shared" si="1"/>
        <v>Not Started</v>
      </c>
      <c r="AQ16" s="4" t="str">
        <f t="shared" si="2"/>
        <v>Not Started</v>
      </c>
      <c r="AR16" s="4" t="str">
        <f t="shared" si="3"/>
        <v>Not Started</v>
      </c>
      <c r="AS16" s="3"/>
      <c r="AT16" s="64" t="str">
        <f t="shared" si="4"/>
        <v>Not Started</v>
      </c>
    </row>
    <row r="17" spans="1:46" x14ac:dyDescent="0.25">
      <c r="A17" s="27">
        <v>1</v>
      </c>
      <c r="B17" s="49">
        <v>111</v>
      </c>
      <c r="C17" s="55" t="s">
        <v>4</v>
      </c>
      <c r="D17" s="2"/>
      <c r="E17" s="1" t="s">
        <v>4</v>
      </c>
      <c r="F17" s="2"/>
      <c r="G17" s="1" t="s">
        <v>4</v>
      </c>
      <c r="H17" s="2"/>
      <c r="I17" s="1" t="s">
        <v>4</v>
      </c>
      <c r="J17" s="2"/>
      <c r="K17" s="1" t="s">
        <v>4</v>
      </c>
      <c r="L17" s="2"/>
      <c r="M17" s="1" t="s">
        <v>4</v>
      </c>
      <c r="N17" s="56"/>
      <c r="O17" s="55" t="s">
        <v>4</v>
      </c>
      <c r="P17" s="2"/>
      <c r="Q17" s="1" t="s">
        <v>4</v>
      </c>
      <c r="R17" s="56"/>
      <c r="S17" s="55" t="s">
        <v>4</v>
      </c>
      <c r="T17" s="2"/>
      <c r="U17" s="1" t="s">
        <v>4</v>
      </c>
      <c r="V17" s="2"/>
      <c r="W17" s="1" t="s">
        <v>4</v>
      </c>
      <c r="X17" s="2"/>
      <c r="Y17" s="1" t="s">
        <v>4</v>
      </c>
      <c r="Z17" s="2"/>
      <c r="AA17" s="1" t="s">
        <v>4</v>
      </c>
      <c r="AB17" s="2"/>
      <c r="AC17" s="1" t="s">
        <v>4</v>
      </c>
      <c r="AD17" s="2"/>
      <c r="AE17" s="1" t="s">
        <v>4</v>
      </c>
      <c r="AF17" s="2"/>
      <c r="AG17" s="1" t="s">
        <v>4</v>
      </c>
      <c r="AH17" s="2"/>
      <c r="AI17" s="1" t="s">
        <v>4</v>
      </c>
      <c r="AJ17" s="2"/>
      <c r="AK17" s="1" t="s">
        <v>4</v>
      </c>
      <c r="AL17" s="56"/>
      <c r="AM17" s="55" t="s">
        <v>4</v>
      </c>
      <c r="AN17" s="2"/>
      <c r="AO17" s="4" t="str">
        <f t="shared" si="0"/>
        <v>Not Started</v>
      </c>
      <c r="AP17" s="4" t="str">
        <f t="shared" si="1"/>
        <v>Not Started</v>
      </c>
      <c r="AQ17" s="4" t="str">
        <f t="shared" si="2"/>
        <v>Not Started</v>
      </c>
      <c r="AR17" s="4" t="str">
        <f t="shared" si="3"/>
        <v>Not Started</v>
      </c>
      <c r="AS17" s="3"/>
      <c r="AT17" s="64" t="str">
        <f t="shared" si="4"/>
        <v>Not Started</v>
      </c>
    </row>
    <row r="18" spans="1:46" x14ac:dyDescent="0.25">
      <c r="A18" s="27">
        <v>1</v>
      </c>
      <c r="B18" s="49">
        <v>112</v>
      </c>
      <c r="C18" s="55" t="s">
        <v>4</v>
      </c>
      <c r="D18" s="2"/>
      <c r="E18" s="1" t="s">
        <v>4</v>
      </c>
      <c r="F18" s="2"/>
      <c r="G18" s="1" t="s">
        <v>4</v>
      </c>
      <c r="H18" s="2"/>
      <c r="I18" s="1" t="s">
        <v>4</v>
      </c>
      <c r="J18" s="2"/>
      <c r="K18" s="1" t="s">
        <v>4</v>
      </c>
      <c r="L18" s="2"/>
      <c r="M18" s="1" t="s">
        <v>4</v>
      </c>
      <c r="N18" s="56"/>
      <c r="O18" s="55" t="s">
        <v>4</v>
      </c>
      <c r="P18" s="2"/>
      <c r="Q18" s="1" t="s">
        <v>4</v>
      </c>
      <c r="R18" s="56"/>
      <c r="S18" s="55" t="s">
        <v>4</v>
      </c>
      <c r="T18" s="2"/>
      <c r="U18" s="1" t="s">
        <v>4</v>
      </c>
      <c r="V18" s="2"/>
      <c r="W18" s="1" t="s">
        <v>4</v>
      </c>
      <c r="X18" s="2"/>
      <c r="Y18" s="1" t="s">
        <v>4</v>
      </c>
      <c r="Z18" s="2"/>
      <c r="AA18" s="1" t="s">
        <v>4</v>
      </c>
      <c r="AB18" s="2"/>
      <c r="AC18" s="1" t="s">
        <v>4</v>
      </c>
      <c r="AD18" s="2"/>
      <c r="AE18" s="1" t="s">
        <v>4</v>
      </c>
      <c r="AF18" s="2"/>
      <c r="AG18" s="1" t="s">
        <v>4</v>
      </c>
      <c r="AH18" s="2"/>
      <c r="AI18" s="1" t="s">
        <v>4</v>
      </c>
      <c r="AJ18" s="2"/>
      <c r="AK18" s="1" t="s">
        <v>4</v>
      </c>
      <c r="AL18" s="56"/>
      <c r="AM18" s="55" t="s">
        <v>4</v>
      </c>
      <c r="AN18" s="2"/>
      <c r="AO18" s="4" t="str">
        <f t="shared" si="0"/>
        <v>Not Started</v>
      </c>
      <c r="AP18" s="4" t="str">
        <f t="shared" si="1"/>
        <v>Not Started</v>
      </c>
      <c r="AQ18" s="4" t="str">
        <f t="shared" si="2"/>
        <v>Not Started</v>
      </c>
      <c r="AR18" s="4" t="str">
        <f t="shared" si="3"/>
        <v>Not Started</v>
      </c>
      <c r="AS18" s="3"/>
      <c r="AT18" s="64" t="str">
        <f t="shared" si="4"/>
        <v>Not Started</v>
      </c>
    </row>
    <row r="19" spans="1:46" x14ac:dyDescent="0.25">
      <c r="A19" s="27">
        <v>2</v>
      </c>
      <c r="B19" s="49">
        <v>201</v>
      </c>
      <c r="C19" s="55" t="s">
        <v>4</v>
      </c>
      <c r="D19" s="2"/>
      <c r="E19" s="1" t="s">
        <v>4</v>
      </c>
      <c r="F19" s="2"/>
      <c r="G19" s="1" t="s">
        <v>4</v>
      </c>
      <c r="H19" s="2"/>
      <c r="I19" s="1" t="s">
        <v>4</v>
      </c>
      <c r="J19" s="2"/>
      <c r="K19" s="1" t="s">
        <v>4</v>
      </c>
      <c r="L19" s="2"/>
      <c r="M19" s="1" t="s">
        <v>4</v>
      </c>
      <c r="N19" s="56"/>
      <c r="O19" s="55" t="s">
        <v>4</v>
      </c>
      <c r="P19" s="2"/>
      <c r="Q19" s="1" t="s">
        <v>4</v>
      </c>
      <c r="R19" s="56"/>
      <c r="S19" s="55" t="s">
        <v>4</v>
      </c>
      <c r="T19" s="2"/>
      <c r="U19" s="1" t="s">
        <v>4</v>
      </c>
      <c r="V19" s="2"/>
      <c r="W19" s="1" t="s">
        <v>4</v>
      </c>
      <c r="X19" s="2"/>
      <c r="Y19" s="1" t="s">
        <v>4</v>
      </c>
      <c r="Z19" s="2"/>
      <c r="AA19" s="1" t="s">
        <v>4</v>
      </c>
      <c r="AB19" s="2"/>
      <c r="AC19" s="1" t="s">
        <v>4</v>
      </c>
      <c r="AD19" s="2"/>
      <c r="AE19" s="1" t="s">
        <v>4</v>
      </c>
      <c r="AF19" s="2"/>
      <c r="AG19" s="1" t="s">
        <v>4</v>
      </c>
      <c r="AH19" s="2"/>
      <c r="AI19" s="1" t="s">
        <v>4</v>
      </c>
      <c r="AJ19" s="2"/>
      <c r="AK19" s="1" t="s">
        <v>4</v>
      </c>
      <c r="AL19" s="56"/>
      <c r="AM19" s="55" t="s">
        <v>4</v>
      </c>
      <c r="AN19" s="2"/>
      <c r="AO19" s="4" t="str">
        <f t="shared" si="0"/>
        <v>Not Started</v>
      </c>
      <c r="AP19" s="4" t="str">
        <f t="shared" si="1"/>
        <v>Not Started</v>
      </c>
      <c r="AQ19" s="4" t="str">
        <f t="shared" si="2"/>
        <v>Not Started</v>
      </c>
      <c r="AR19" s="4" t="str">
        <f t="shared" si="3"/>
        <v>Not Started</v>
      </c>
      <c r="AS19" s="3"/>
      <c r="AT19" s="64" t="str">
        <f t="shared" si="4"/>
        <v>Not Started</v>
      </c>
    </row>
    <row r="20" spans="1:46" x14ac:dyDescent="0.25">
      <c r="A20" s="27">
        <v>2</v>
      </c>
      <c r="B20" s="49">
        <v>202</v>
      </c>
      <c r="C20" s="55" t="s">
        <v>4</v>
      </c>
      <c r="D20" s="2"/>
      <c r="E20" s="1" t="s">
        <v>4</v>
      </c>
      <c r="F20" s="2"/>
      <c r="G20" s="1" t="s">
        <v>4</v>
      </c>
      <c r="H20" s="2"/>
      <c r="I20" s="1" t="s">
        <v>4</v>
      </c>
      <c r="J20" s="2"/>
      <c r="K20" s="1" t="s">
        <v>4</v>
      </c>
      <c r="L20" s="2"/>
      <c r="M20" s="1" t="s">
        <v>4</v>
      </c>
      <c r="N20" s="56"/>
      <c r="O20" s="55" t="s">
        <v>4</v>
      </c>
      <c r="P20" s="2"/>
      <c r="Q20" s="1" t="s">
        <v>4</v>
      </c>
      <c r="R20" s="56"/>
      <c r="S20" s="55" t="s">
        <v>4</v>
      </c>
      <c r="T20" s="2"/>
      <c r="U20" s="1" t="s">
        <v>4</v>
      </c>
      <c r="V20" s="2"/>
      <c r="W20" s="1" t="s">
        <v>4</v>
      </c>
      <c r="X20" s="2"/>
      <c r="Y20" s="1" t="s">
        <v>4</v>
      </c>
      <c r="Z20" s="2"/>
      <c r="AA20" s="1" t="s">
        <v>4</v>
      </c>
      <c r="AB20" s="2"/>
      <c r="AC20" s="1" t="s">
        <v>4</v>
      </c>
      <c r="AD20" s="2"/>
      <c r="AE20" s="1" t="s">
        <v>4</v>
      </c>
      <c r="AF20" s="2"/>
      <c r="AG20" s="1" t="s">
        <v>4</v>
      </c>
      <c r="AH20" s="2"/>
      <c r="AI20" s="1" t="s">
        <v>4</v>
      </c>
      <c r="AJ20" s="2"/>
      <c r="AK20" s="1" t="s">
        <v>4</v>
      </c>
      <c r="AL20" s="56"/>
      <c r="AM20" s="55" t="s">
        <v>4</v>
      </c>
      <c r="AN20" s="2"/>
      <c r="AO20" s="4" t="str">
        <f t="shared" si="0"/>
        <v>Not Started</v>
      </c>
      <c r="AP20" s="4" t="str">
        <f t="shared" si="1"/>
        <v>Not Started</v>
      </c>
      <c r="AQ20" s="4" t="str">
        <f t="shared" si="2"/>
        <v>Not Started</v>
      </c>
      <c r="AR20" s="4" t="str">
        <f t="shared" si="3"/>
        <v>Not Started</v>
      </c>
      <c r="AS20" s="3"/>
      <c r="AT20" s="64" t="str">
        <f t="shared" si="4"/>
        <v>Not Started</v>
      </c>
    </row>
    <row r="21" spans="1:46" x14ac:dyDescent="0.25">
      <c r="A21" s="27">
        <v>2</v>
      </c>
      <c r="B21" s="49">
        <v>203</v>
      </c>
      <c r="C21" s="55" t="s">
        <v>4</v>
      </c>
      <c r="D21" s="2"/>
      <c r="E21" s="1" t="s">
        <v>4</v>
      </c>
      <c r="F21" s="2"/>
      <c r="G21" s="1" t="s">
        <v>4</v>
      </c>
      <c r="H21" s="2"/>
      <c r="I21" s="1" t="s">
        <v>4</v>
      </c>
      <c r="J21" s="2"/>
      <c r="K21" s="1" t="s">
        <v>4</v>
      </c>
      <c r="L21" s="2"/>
      <c r="M21" s="1" t="s">
        <v>4</v>
      </c>
      <c r="N21" s="56"/>
      <c r="O21" s="55" t="s">
        <v>4</v>
      </c>
      <c r="P21" s="2"/>
      <c r="Q21" s="1" t="s">
        <v>4</v>
      </c>
      <c r="R21" s="56"/>
      <c r="S21" s="55" t="s">
        <v>4</v>
      </c>
      <c r="T21" s="2"/>
      <c r="U21" s="1" t="s">
        <v>4</v>
      </c>
      <c r="V21" s="2"/>
      <c r="W21" s="1" t="s">
        <v>4</v>
      </c>
      <c r="X21" s="2"/>
      <c r="Y21" s="1" t="s">
        <v>4</v>
      </c>
      <c r="Z21" s="2"/>
      <c r="AA21" s="1" t="s">
        <v>4</v>
      </c>
      <c r="AB21" s="2"/>
      <c r="AC21" s="1" t="s">
        <v>4</v>
      </c>
      <c r="AD21" s="2"/>
      <c r="AE21" s="1" t="s">
        <v>4</v>
      </c>
      <c r="AF21" s="2"/>
      <c r="AG21" s="1" t="s">
        <v>4</v>
      </c>
      <c r="AH21" s="2"/>
      <c r="AI21" s="1" t="s">
        <v>4</v>
      </c>
      <c r="AJ21" s="2"/>
      <c r="AK21" s="1" t="s">
        <v>4</v>
      </c>
      <c r="AL21" s="56"/>
      <c r="AM21" s="55" t="s">
        <v>4</v>
      </c>
      <c r="AN21" s="2"/>
      <c r="AO21" s="4" t="str">
        <f t="shared" si="0"/>
        <v>Not Started</v>
      </c>
      <c r="AP21" s="4" t="str">
        <f t="shared" si="1"/>
        <v>Not Started</v>
      </c>
      <c r="AQ21" s="4" t="str">
        <f t="shared" si="2"/>
        <v>Not Started</v>
      </c>
      <c r="AR21" s="4" t="str">
        <f t="shared" si="3"/>
        <v>Not Started</v>
      </c>
      <c r="AS21" s="3"/>
      <c r="AT21" s="64" t="str">
        <f t="shared" si="4"/>
        <v>Not Started</v>
      </c>
    </row>
    <row r="22" spans="1:46" x14ac:dyDescent="0.25">
      <c r="A22" s="27">
        <v>2</v>
      </c>
      <c r="B22" s="49">
        <v>204</v>
      </c>
      <c r="C22" s="55" t="s">
        <v>4</v>
      </c>
      <c r="D22" s="2"/>
      <c r="E22" s="1" t="s">
        <v>4</v>
      </c>
      <c r="F22" s="2"/>
      <c r="G22" s="1" t="s">
        <v>4</v>
      </c>
      <c r="H22" s="2"/>
      <c r="I22" s="1" t="s">
        <v>4</v>
      </c>
      <c r="J22" s="2"/>
      <c r="K22" s="1" t="s">
        <v>4</v>
      </c>
      <c r="L22" s="2"/>
      <c r="M22" s="1" t="s">
        <v>4</v>
      </c>
      <c r="N22" s="56"/>
      <c r="O22" s="55" t="s">
        <v>4</v>
      </c>
      <c r="P22" s="2"/>
      <c r="Q22" s="1" t="s">
        <v>4</v>
      </c>
      <c r="R22" s="56"/>
      <c r="S22" s="55" t="s">
        <v>4</v>
      </c>
      <c r="T22" s="2"/>
      <c r="U22" s="1" t="s">
        <v>4</v>
      </c>
      <c r="V22" s="2"/>
      <c r="W22" s="1" t="s">
        <v>4</v>
      </c>
      <c r="X22" s="2"/>
      <c r="Y22" s="1" t="s">
        <v>4</v>
      </c>
      <c r="Z22" s="2"/>
      <c r="AA22" s="1" t="s">
        <v>4</v>
      </c>
      <c r="AB22" s="2"/>
      <c r="AC22" s="1" t="s">
        <v>4</v>
      </c>
      <c r="AD22" s="2"/>
      <c r="AE22" s="1" t="s">
        <v>4</v>
      </c>
      <c r="AF22" s="2"/>
      <c r="AG22" s="1" t="s">
        <v>4</v>
      </c>
      <c r="AH22" s="2"/>
      <c r="AI22" s="1" t="s">
        <v>4</v>
      </c>
      <c r="AJ22" s="2"/>
      <c r="AK22" s="1" t="s">
        <v>4</v>
      </c>
      <c r="AL22" s="56"/>
      <c r="AM22" s="55" t="s">
        <v>4</v>
      </c>
      <c r="AN22" s="2"/>
      <c r="AO22" s="4" t="str">
        <f t="shared" si="0"/>
        <v>Not Started</v>
      </c>
      <c r="AP22" s="4" t="str">
        <f t="shared" si="1"/>
        <v>Not Started</v>
      </c>
      <c r="AQ22" s="4" t="str">
        <f t="shared" si="2"/>
        <v>Not Started</v>
      </c>
      <c r="AR22" s="4" t="str">
        <f t="shared" si="3"/>
        <v>Not Started</v>
      </c>
      <c r="AS22" s="3"/>
      <c r="AT22" s="64" t="str">
        <f t="shared" si="4"/>
        <v>Not Started</v>
      </c>
    </row>
    <row r="23" spans="1:46" x14ac:dyDescent="0.25">
      <c r="A23" s="27">
        <v>2</v>
      </c>
      <c r="B23" s="49">
        <v>205</v>
      </c>
      <c r="C23" s="55" t="s">
        <v>4</v>
      </c>
      <c r="D23" s="2"/>
      <c r="E23" s="1" t="s">
        <v>4</v>
      </c>
      <c r="F23" s="2"/>
      <c r="G23" s="1" t="s">
        <v>4</v>
      </c>
      <c r="H23" s="2"/>
      <c r="I23" s="1" t="s">
        <v>4</v>
      </c>
      <c r="J23" s="2"/>
      <c r="K23" s="1" t="s">
        <v>4</v>
      </c>
      <c r="L23" s="2"/>
      <c r="M23" s="1" t="s">
        <v>4</v>
      </c>
      <c r="N23" s="56"/>
      <c r="O23" s="55" t="s">
        <v>4</v>
      </c>
      <c r="P23" s="2"/>
      <c r="Q23" s="1" t="s">
        <v>4</v>
      </c>
      <c r="R23" s="56"/>
      <c r="S23" s="55" t="s">
        <v>4</v>
      </c>
      <c r="T23" s="2"/>
      <c r="U23" s="1" t="s">
        <v>4</v>
      </c>
      <c r="V23" s="2"/>
      <c r="W23" s="1" t="s">
        <v>4</v>
      </c>
      <c r="X23" s="2"/>
      <c r="Y23" s="1" t="s">
        <v>4</v>
      </c>
      <c r="Z23" s="2"/>
      <c r="AA23" s="1" t="s">
        <v>4</v>
      </c>
      <c r="AB23" s="2"/>
      <c r="AC23" s="1" t="s">
        <v>4</v>
      </c>
      <c r="AD23" s="2"/>
      <c r="AE23" s="1" t="s">
        <v>4</v>
      </c>
      <c r="AF23" s="2"/>
      <c r="AG23" s="1" t="s">
        <v>4</v>
      </c>
      <c r="AH23" s="2"/>
      <c r="AI23" s="1" t="s">
        <v>4</v>
      </c>
      <c r="AJ23" s="2"/>
      <c r="AK23" s="1" t="s">
        <v>4</v>
      </c>
      <c r="AL23" s="56"/>
      <c r="AM23" s="55" t="s">
        <v>4</v>
      </c>
      <c r="AN23" s="2"/>
      <c r="AO23" s="4" t="str">
        <f t="shared" si="0"/>
        <v>Not Started</v>
      </c>
      <c r="AP23" s="4" t="str">
        <f t="shared" si="1"/>
        <v>Not Started</v>
      </c>
      <c r="AQ23" s="4" t="str">
        <f t="shared" si="2"/>
        <v>Not Started</v>
      </c>
      <c r="AR23" s="4" t="str">
        <f t="shared" si="3"/>
        <v>Not Started</v>
      </c>
      <c r="AS23" s="3"/>
      <c r="AT23" s="64" t="str">
        <f t="shared" si="4"/>
        <v>Not Started</v>
      </c>
    </row>
    <row r="24" spans="1:46" x14ac:dyDescent="0.25">
      <c r="A24" s="27">
        <v>2</v>
      </c>
      <c r="B24" s="49">
        <v>206</v>
      </c>
      <c r="C24" s="55" t="s">
        <v>4</v>
      </c>
      <c r="D24" s="2"/>
      <c r="E24" s="1" t="s">
        <v>4</v>
      </c>
      <c r="F24" s="2"/>
      <c r="G24" s="1" t="s">
        <v>4</v>
      </c>
      <c r="H24" s="2"/>
      <c r="I24" s="1" t="s">
        <v>4</v>
      </c>
      <c r="J24" s="2"/>
      <c r="K24" s="1" t="s">
        <v>4</v>
      </c>
      <c r="L24" s="2"/>
      <c r="M24" s="1" t="s">
        <v>4</v>
      </c>
      <c r="N24" s="56"/>
      <c r="O24" s="55" t="s">
        <v>4</v>
      </c>
      <c r="P24" s="2"/>
      <c r="Q24" s="1" t="s">
        <v>4</v>
      </c>
      <c r="R24" s="56"/>
      <c r="S24" s="55" t="s">
        <v>4</v>
      </c>
      <c r="T24" s="2"/>
      <c r="U24" s="1" t="s">
        <v>4</v>
      </c>
      <c r="V24" s="2"/>
      <c r="W24" s="1" t="s">
        <v>4</v>
      </c>
      <c r="X24" s="2"/>
      <c r="Y24" s="1" t="s">
        <v>4</v>
      </c>
      <c r="Z24" s="2"/>
      <c r="AA24" s="1" t="s">
        <v>4</v>
      </c>
      <c r="AB24" s="2"/>
      <c r="AC24" s="1" t="s">
        <v>4</v>
      </c>
      <c r="AD24" s="2"/>
      <c r="AE24" s="1" t="s">
        <v>4</v>
      </c>
      <c r="AF24" s="2"/>
      <c r="AG24" s="1" t="s">
        <v>4</v>
      </c>
      <c r="AH24" s="2"/>
      <c r="AI24" s="1" t="s">
        <v>4</v>
      </c>
      <c r="AJ24" s="2"/>
      <c r="AK24" s="1" t="s">
        <v>4</v>
      </c>
      <c r="AL24" s="56"/>
      <c r="AM24" s="55" t="s">
        <v>4</v>
      </c>
      <c r="AN24" s="2"/>
      <c r="AO24" s="4" t="str">
        <f t="shared" si="0"/>
        <v>Not Started</v>
      </c>
      <c r="AP24" s="4" t="str">
        <f t="shared" si="1"/>
        <v>Not Started</v>
      </c>
      <c r="AQ24" s="4" t="str">
        <f t="shared" si="2"/>
        <v>Not Started</v>
      </c>
      <c r="AR24" s="4" t="str">
        <f t="shared" si="3"/>
        <v>Not Started</v>
      </c>
      <c r="AS24" s="3"/>
      <c r="AT24" s="64" t="str">
        <f t="shared" si="4"/>
        <v>Not Started</v>
      </c>
    </row>
    <row r="25" spans="1:46" x14ac:dyDescent="0.25">
      <c r="A25" s="27">
        <v>2</v>
      </c>
      <c r="B25" s="49">
        <v>207</v>
      </c>
      <c r="C25" s="55" t="s">
        <v>4</v>
      </c>
      <c r="D25" s="2"/>
      <c r="E25" s="1" t="s">
        <v>4</v>
      </c>
      <c r="F25" s="2"/>
      <c r="G25" s="1" t="s">
        <v>4</v>
      </c>
      <c r="H25" s="2"/>
      <c r="I25" s="1" t="s">
        <v>4</v>
      </c>
      <c r="J25" s="2"/>
      <c r="K25" s="1" t="s">
        <v>4</v>
      </c>
      <c r="L25" s="2"/>
      <c r="M25" s="1" t="s">
        <v>4</v>
      </c>
      <c r="N25" s="56"/>
      <c r="O25" s="55" t="s">
        <v>4</v>
      </c>
      <c r="P25" s="2"/>
      <c r="Q25" s="1" t="s">
        <v>4</v>
      </c>
      <c r="R25" s="56"/>
      <c r="S25" s="55" t="s">
        <v>4</v>
      </c>
      <c r="T25" s="2"/>
      <c r="U25" s="1" t="s">
        <v>4</v>
      </c>
      <c r="V25" s="2"/>
      <c r="W25" s="1" t="s">
        <v>4</v>
      </c>
      <c r="X25" s="2"/>
      <c r="Y25" s="1" t="s">
        <v>4</v>
      </c>
      <c r="Z25" s="2"/>
      <c r="AA25" s="1" t="s">
        <v>4</v>
      </c>
      <c r="AB25" s="2"/>
      <c r="AC25" s="1" t="s">
        <v>4</v>
      </c>
      <c r="AD25" s="2"/>
      <c r="AE25" s="1" t="s">
        <v>4</v>
      </c>
      <c r="AF25" s="2"/>
      <c r="AG25" s="1" t="s">
        <v>4</v>
      </c>
      <c r="AH25" s="2"/>
      <c r="AI25" s="1" t="s">
        <v>4</v>
      </c>
      <c r="AJ25" s="2"/>
      <c r="AK25" s="1" t="s">
        <v>4</v>
      </c>
      <c r="AL25" s="56"/>
      <c r="AM25" s="55" t="s">
        <v>4</v>
      </c>
      <c r="AN25" s="2"/>
      <c r="AO25" s="4" t="str">
        <f t="shared" si="0"/>
        <v>Not Started</v>
      </c>
      <c r="AP25" s="4" t="str">
        <f t="shared" si="1"/>
        <v>Not Started</v>
      </c>
      <c r="AQ25" s="4" t="str">
        <f t="shared" si="2"/>
        <v>Not Started</v>
      </c>
      <c r="AR25" s="4" t="str">
        <f t="shared" si="3"/>
        <v>Not Started</v>
      </c>
      <c r="AS25" s="3"/>
      <c r="AT25" s="64" t="str">
        <f t="shared" si="4"/>
        <v>Not Started</v>
      </c>
    </row>
    <row r="26" spans="1:46" x14ac:dyDescent="0.25">
      <c r="A26" s="27">
        <v>2</v>
      </c>
      <c r="B26" s="49">
        <v>208</v>
      </c>
      <c r="C26" s="55" t="s">
        <v>4</v>
      </c>
      <c r="D26" s="2"/>
      <c r="E26" s="1" t="s">
        <v>4</v>
      </c>
      <c r="F26" s="2"/>
      <c r="G26" s="1" t="s">
        <v>4</v>
      </c>
      <c r="H26" s="2"/>
      <c r="I26" s="1" t="s">
        <v>4</v>
      </c>
      <c r="J26" s="2"/>
      <c r="K26" s="1" t="s">
        <v>4</v>
      </c>
      <c r="L26" s="2"/>
      <c r="M26" s="1" t="s">
        <v>4</v>
      </c>
      <c r="N26" s="56"/>
      <c r="O26" s="55" t="s">
        <v>4</v>
      </c>
      <c r="P26" s="2"/>
      <c r="Q26" s="1" t="s">
        <v>4</v>
      </c>
      <c r="R26" s="56"/>
      <c r="S26" s="55" t="s">
        <v>4</v>
      </c>
      <c r="T26" s="2"/>
      <c r="U26" s="1" t="s">
        <v>4</v>
      </c>
      <c r="V26" s="2"/>
      <c r="W26" s="1" t="s">
        <v>4</v>
      </c>
      <c r="X26" s="2"/>
      <c r="Y26" s="1" t="s">
        <v>4</v>
      </c>
      <c r="Z26" s="2"/>
      <c r="AA26" s="1" t="s">
        <v>4</v>
      </c>
      <c r="AB26" s="2"/>
      <c r="AC26" s="1" t="s">
        <v>4</v>
      </c>
      <c r="AD26" s="2"/>
      <c r="AE26" s="1" t="s">
        <v>4</v>
      </c>
      <c r="AF26" s="2"/>
      <c r="AG26" s="1" t="s">
        <v>4</v>
      </c>
      <c r="AH26" s="2"/>
      <c r="AI26" s="1" t="s">
        <v>4</v>
      </c>
      <c r="AJ26" s="2"/>
      <c r="AK26" s="1" t="s">
        <v>4</v>
      </c>
      <c r="AL26" s="56"/>
      <c r="AM26" s="55" t="s">
        <v>4</v>
      </c>
      <c r="AN26" s="2"/>
      <c r="AO26" s="4" t="str">
        <f t="shared" si="0"/>
        <v>Not Started</v>
      </c>
      <c r="AP26" s="4" t="str">
        <f t="shared" si="1"/>
        <v>Not Started</v>
      </c>
      <c r="AQ26" s="4" t="str">
        <f t="shared" si="2"/>
        <v>Not Started</v>
      </c>
      <c r="AR26" s="4" t="str">
        <f t="shared" si="3"/>
        <v>Not Started</v>
      </c>
      <c r="AS26" s="3"/>
      <c r="AT26" s="64" t="str">
        <f t="shared" si="4"/>
        <v>Not Started</v>
      </c>
    </row>
    <row r="27" spans="1:46" x14ac:dyDescent="0.25">
      <c r="A27" s="27">
        <v>2</v>
      </c>
      <c r="B27" s="49">
        <v>209</v>
      </c>
      <c r="C27" s="55" t="s">
        <v>4</v>
      </c>
      <c r="D27" s="2"/>
      <c r="E27" s="1" t="s">
        <v>4</v>
      </c>
      <c r="F27" s="2"/>
      <c r="G27" s="1" t="s">
        <v>4</v>
      </c>
      <c r="H27" s="2"/>
      <c r="I27" s="1" t="s">
        <v>4</v>
      </c>
      <c r="J27" s="2"/>
      <c r="K27" s="1" t="s">
        <v>4</v>
      </c>
      <c r="L27" s="2"/>
      <c r="M27" s="1" t="s">
        <v>4</v>
      </c>
      <c r="N27" s="56"/>
      <c r="O27" s="55" t="s">
        <v>4</v>
      </c>
      <c r="P27" s="2"/>
      <c r="Q27" s="1" t="s">
        <v>4</v>
      </c>
      <c r="R27" s="56"/>
      <c r="S27" s="55" t="s">
        <v>4</v>
      </c>
      <c r="T27" s="2"/>
      <c r="U27" s="1" t="s">
        <v>4</v>
      </c>
      <c r="V27" s="2"/>
      <c r="W27" s="1" t="s">
        <v>4</v>
      </c>
      <c r="X27" s="2"/>
      <c r="Y27" s="1" t="s">
        <v>4</v>
      </c>
      <c r="Z27" s="2"/>
      <c r="AA27" s="1" t="s">
        <v>4</v>
      </c>
      <c r="AB27" s="2"/>
      <c r="AC27" s="1" t="s">
        <v>4</v>
      </c>
      <c r="AD27" s="2"/>
      <c r="AE27" s="1" t="s">
        <v>4</v>
      </c>
      <c r="AF27" s="2"/>
      <c r="AG27" s="1" t="s">
        <v>4</v>
      </c>
      <c r="AH27" s="2"/>
      <c r="AI27" s="1" t="s">
        <v>4</v>
      </c>
      <c r="AJ27" s="2"/>
      <c r="AK27" s="1" t="s">
        <v>4</v>
      </c>
      <c r="AL27" s="56"/>
      <c r="AM27" s="55" t="s">
        <v>4</v>
      </c>
      <c r="AN27" s="2"/>
      <c r="AO27" s="4" t="str">
        <f t="shared" si="0"/>
        <v>Not Started</v>
      </c>
      <c r="AP27" s="4" t="str">
        <f t="shared" si="1"/>
        <v>Not Started</v>
      </c>
      <c r="AQ27" s="4" t="str">
        <f t="shared" si="2"/>
        <v>Not Started</v>
      </c>
      <c r="AR27" s="4" t="str">
        <f t="shared" si="3"/>
        <v>Not Started</v>
      </c>
      <c r="AS27" s="3"/>
      <c r="AT27" s="64" t="str">
        <f t="shared" si="4"/>
        <v>Not Started</v>
      </c>
    </row>
    <row r="28" spans="1:46" x14ac:dyDescent="0.25">
      <c r="A28" s="27">
        <v>2</v>
      </c>
      <c r="B28" s="49">
        <v>210</v>
      </c>
      <c r="C28" s="55" t="s">
        <v>4</v>
      </c>
      <c r="D28" s="2"/>
      <c r="E28" s="1" t="s">
        <v>4</v>
      </c>
      <c r="F28" s="2"/>
      <c r="G28" s="1" t="s">
        <v>4</v>
      </c>
      <c r="H28" s="2"/>
      <c r="I28" s="1" t="s">
        <v>4</v>
      </c>
      <c r="J28" s="2"/>
      <c r="K28" s="1" t="s">
        <v>4</v>
      </c>
      <c r="L28" s="2"/>
      <c r="M28" s="1" t="s">
        <v>4</v>
      </c>
      <c r="N28" s="56"/>
      <c r="O28" s="55" t="s">
        <v>4</v>
      </c>
      <c r="P28" s="2"/>
      <c r="Q28" s="1" t="s">
        <v>4</v>
      </c>
      <c r="R28" s="56"/>
      <c r="S28" s="55" t="s">
        <v>4</v>
      </c>
      <c r="T28" s="2"/>
      <c r="U28" s="1" t="s">
        <v>4</v>
      </c>
      <c r="V28" s="2"/>
      <c r="W28" s="1" t="s">
        <v>4</v>
      </c>
      <c r="X28" s="2"/>
      <c r="Y28" s="1" t="s">
        <v>4</v>
      </c>
      <c r="Z28" s="2"/>
      <c r="AA28" s="1" t="s">
        <v>4</v>
      </c>
      <c r="AB28" s="2"/>
      <c r="AC28" s="1" t="s">
        <v>4</v>
      </c>
      <c r="AD28" s="2"/>
      <c r="AE28" s="1" t="s">
        <v>4</v>
      </c>
      <c r="AF28" s="2"/>
      <c r="AG28" s="1" t="s">
        <v>4</v>
      </c>
      <c r="AH28" s="2"/>
      <c r="AI28" s="1" t="s">
        <v>4</v>
      </c>
      <c r="AJ28" s="2"/>
      <c r="AK28" s="1" t="s">
        <v>4</v>
      </c>
      <c r="AL28" s="56"/>
      <c r="AM28" s="55" t="s">
        <v>4</v>
      </c>
      <c r="AN28" s="2"/>
      <c r="AO28" s="4" t="str">
        <f t="shared" si="0"/>
        <v>Not Started</v>
      </c>
      <c r="AP28" s="4" t="str">
        <f t="shared" si="1"/>
        <v>Not Started</v>
      </c>
      <c r="AQ28" s="4" t="str">
        <f t="shared" si="2"/>
        <v>Not Started</v>
      </c>
      <c r="AR28" s="4" t="str">
        <f t="shared" si="3"/>
        <v>Not Started</v>
      </c>
      <c r="AS28" s="3"/>
      <c r="AT28" s="64" t="str">
        <f t="shared" si="4"/>
        <v>Not Started</v>
      </c>
    </row>
    <row r="29" spans="1:46" x14ac:dyDescent="0.25">
      <c r="A29" s="27">
        <v>2</v>
      </c>
      <c r="B29" s="49">
        <v>211</v>
      </c>
      <c r="C29" s="55" t="s">
        <v>4</v>
      </c>
      <c r="D29" s="2"/>
      <c r="E29" s="1" t="s">
        <v>4</v>
      </c>
      <c r="F29" s="2"/>
      <c r="G29" s="1" t="s">
        <v>4</v>
      </c>
      <c r="H29" s="2"/>
      <c r="I29" s="1" t="s">
        <v>4</v>
      </c>
      <c r="J29" s="2"/>
      <c r="K29" s="1" t="s">
        <v>4</v>
      </c>
      <c r="L29" s="2"/>
      <c r="M29" s="1" t="s">
        <v>4</v>
      </c>
      <c r="N29" s="56"/>
      <c r="O29" s="55" t="s">
        <v>4</v>
      </c>
      <c r="P29" s="2"/>
      <c r="Q29" s="1" t="s">
        <v>4</v>
      </c>
      <c r="R29" s="56"/>
      <c r="S29" s="55" t="s">
        <v>4</v>
      </c>
      <c r="T29" s="2"/>
      <c r="U29" s="1" t="s">
        <v>4</v>
      </c>
      <c r="V29" s="2"/>
      <c r="W29" s="1" t="s">
        <v>4</v>
      </c>
      <c r="X29" s="2"/>
      <c r="Y29" s="1" t="s">
        <v>4</v>
      </c>
      <c r="Z29" s="2"/>
      <c r="AA29" s="1" t="s">
        <v>4</v>
      </c>
      <c r="AB29" s="2"/>
      <c r="AC29" s="1" t="s">
        <v>4</v>
      </c>
      <c r="AD29" s="2"/>
      <c r="AE29" s="1" t="s">
        <v>4</v>
      </c>
      <c r="AF29" s="2"/>
      <c r="AG29" s="1" t="s">
        <v>4</v>
      </c>
      <c r="AH29" s="2"/>
      <c r="AI29" s="1" t="s">
        <v>4</v>
      </c>
      <c r="AJ29" s="2"/>
      <c r="AK29" s="1" t="s">
        <v>4</v>
      </c>
      <c r="AL29" s="56"/>
      <c r="AM29" s="55" t="s">
        <v>4</v>
      </c>
      <c r="AN29" s="2"/>
      <c r="AO29" s="4" t="str">
        <f t="shared" si="0"/>
        <v>Not Started</v>
      </c>
      <c r="AP29" s="4" t="str">
        <f t="shared" si="1"/>
        <v>Not Started</v>
      </c>
      <c r="AQ29" s="4" t="str">
        <f t="shared" si="2"/>
        <v>Not Started</v>
      </c>
      <c r="AR29" s="4" t="str">
        <f t="shared" si="3"/>
        <v>Not Started</v>
      </c>
      <c r="AS29" s="3"/>
      <c r="AT29" s="64" t="str">
        <f t="shared" si="4"/>
        <v>Not Started</v>
      </c>
    </row>
    <row r="30" spans="1:46" x14ac:dyDescent="0.25">
      <c r="A30" s="27">
        <v>2</v>
      </c>
      <c r="B30" s="49">
        <v>212</v>
      </c>
      <c r="C30" s="55" t="s">
        <v>4</v>
      </c>
      <c r="D30" s="2"/>
      <c r="E30" s="1" t="s">
        <v>4</v>
      </c>
      <c r="F30" s="2"/>
      <c r="G30" s="1" t="s">
        <v>4</v>
      </c>
      <c r="H30" s="2"/>
      <c r="I30" s="1" t="s">
        <v>4</v>
      </c>
      <c r="J30" s="2"/>
      <c r="K30" s="1" t="s">
        <v>4</v>
      </c>
      <c r="L30" s="2"/>
      <c r="M30" s="1" t="s">
        <v>4</v>
      </c>
      <c r="N30" s="56"/>
      <c r="O30" s="55" t="s">
        <v>4</v>
      </c>
      <c r="P30" s="2"/>
      <c r="Q30" s="1" t="s">
        <v>4</v>
      </c>
      <c r="R30" s="56"/>
      <c r="S30" s="55" t="s">
        <v>4</v>
      </c>
      <c r="T30" s="2"/>
      <c r="U30" s="1" t="s">
        <v>4</v>
      </c>
      <c r="V30" s="2"/>
      <c r="W30" s="1" t="s">
        <v>4</v>
      </c>
      <c r="X30" s="2"/>
      <c r="Y30" s="1" t="s">
        <v>4</v>
      </c>
      <c r="Z30" s="2"/>
      <c r="AA30" s="1" t="s">
        <v>4</v>
      </c>
      <c r="AB30" s="2"/>
      <c r="AC30" s="1" t="s">
        <v>4</v>
      </c>
      <c r="AD30" s="2"/>
      <c r="AE30" s="1" t="s">
        <v>4</v>
      </c>
      <c r="AF30" s="2"/>
      <c r="AG30" s="1" t="s">
        <v>4</v>
      </c>
      <c r="AH30" s="2"/>
      <c r="AI30" s="1" t="s">
        <v>4</v>
      </c>
      <c r="AJ30" s="2"/>
      <c r="AK30" s="1" t="s">
        <v>4</v>
      </c>
      <c r="AL30" s="56"/>
      <c r="AM30" s="55" t="s">
        <v>4</v>
      </c>
      <c r="AN30" s="2"/>
      <c r="AO30" s="4" t="str">
        <f t="shared" si="0"/>
        <v>Not Started</v>
      </c>
      <c r="AP30" s="4" t="str">
        <f t="shared" si="1"/>
        <v>Not Started</v>
      </c>
      <c r="AQ30" s="4" t="str">
        <f t="shared" si="2"/>
        <v>Not Started</v>
      </c>
      <c r="AR30" s="4" t="str">
        <f t="shared" si="3"/>
        <v>Not Started</v>
      </c>
      <c r="AS30" s="3"/>
      <c r="AT30" s="64" t="str">
        <f t="shared" si="4"/>
        <v>Not Started</v>
      </c>
    </row>
    <row r="31" spans="1:46" x14ac:dyDescent="0.25">
      <c r="A31" s="27">
        <v>3</v>
      </c>
      <c r="B31" s="49">
        <v>301</v>
      </c>
      <c r="C31" s="55" t="s">
        <v>4</v>
      </c>
      <c r="D31" s="2"/>
      <c r="E31" s="1" t="s">
        <v>4</v>
      </c>
      <c r="F31" s="2"/>
      <c r="G31" s="1" t="s">
        <v>4</v>
      </c>
      <c r="H31" s="2"/>
      <c r="I31" s="1" t="s">
        <v>4</v>
      </c>
      <c r="J31" s="2"/>
      <c r="K31" s="1" t="s">
        <v>4</v>
      </c>
      <c r="L31" s="2"/>
      <c r="M31" s="1" t="s">
        <v>4</v>
      </c>
      <c r="N31" s="56"/>
      <c r="O31" s="55" t="s">
        <v>4</v>
      </c>
      <c r="P31" s="2"/>
      <c r="Q31" s="1" t="s">
        <v>4</v>
      </c>
      <c r="R31" s="56"/>
      <c r="S31" s="55" t="s">
        <v>4</v>
      </c>
      <c r="T31" s="2"/>
      <c r="U31" s="1" t="s">
        <v>4</v>
      </c>
      <c r="V31" s="2"/>
      <c r="W31" s="1" t="s">
        <v>4</v>
      </c>
      <c r="X31" s="2"/>
      <c r="Y31" s="1" t="s">
        <v>4</v>
      </c>
      <c r="Z31" s="2"/>
      <c r="AA31" s="1" t="s">
        <v>4</v>
      </c>
      <c r="AB31" s="2"/>
      <c r="AC31" s="1" t="s">
        <v>4</v>
      </c>
      <c r="AD31" s="2"/>
      <c r="AE31" s="1" t="s">
        <v>4</v>
      </c>
      <c r="AF31" s="2"/>
      <c r="AG31" s="1" t="s">
        <v>4</v>
      </c>
      <c r="AH31" s="2"/>
      <c r="AI31" s="1" t="s">
        <v>4</v>
      </c>
      <c r="AJ31" s="2"/>
      <c r="AK31" s="1" t="s">
        <v>4</v>
      </c>
      <c r="AL31" s="56"/>
      <c r="AM31" s="55" t="s">
        <v>4</v>
      </c>
      <c r="AN31" s="2"/>
      <c r="AO31" s="4" t="str">
        <f t="shared" si="0"/>
        <v>Not Started</v>
      </c>
      <c r="AP31" s="4" t="str">
        <f t="shared" si="1"/>
        <v>Not Started</v>
      </c>
      <c r="AQ31" s="4" t="str">
        <f t="shared" si="2"/>
        <v>Not Started</v>
      </c>
      <c r="AR31" s="4" t="str">
        <f t="shared" si="3"/>
        <v>Not Started</v>
      </c>
      <c r="AS31" s="3"/>
      <c r="AT31" s="64" t="str">
        <f t="shared" si="4"/>
        <v>Not Started</v>
      </c>
    </row>
    <row r="32" spans="1:46" x14ac:dyDescent="0.25">
      <c r="A32" s="27">
        <v>3</v>
      </c>
      <c r="B32" s="49">
        <v>302</v>
      </c>
      <c r="C32" s="55" t="s">
        <v>4</v>
      </c>
      <c r="D32" s="2"/>
      <c r="E32" s="1" t="s">
        <v>4</v>
      </c>
      <c r="F32" s="2"/>
      <c r="G32" s="1" t="s">
        <v>4</v>
      </c>
      <c r="H32" s="2"/>
      <c r="I32" s="1" t="s">
        <v>4</v>
      </c>
      <c r="J32" s="2"/>
      <c r="K32" s="1" t="s">
        <v>4</v>
      </c>
      <c r="L32" s="2"/>
      <c r="M32" s="1" t="s">
        <v>4</v>
      </c>
      <c r="N32" s="56"/>
      <c r="O32" s="55" t="s">
        <v>4</v>
      </c>
      <c r="P32" s="2"/>
      <c r="Q32" s="1" t="s">
        <v>4</v>
      </c>
      <c r="R32" s="56"/>
      <c r="S32" s="55" t="s">
        <v>4</v>
      </c>
      <c r="T32" s="2"/>
      <c r="U32" s="1" t="s">
        <v>4</v>
      </c>
      <c r="V32" s="2"/>
      <c r="W32" s="1" t="s">
        <v>4</v>
      </c>
      <c r="X32" s="2"/>
      <c r="Y32" s="1" t="s">
        <v>4</v>
      </c>
      <c r="Z32" s="2"/>
      <c r="AA32" s="1" t="s">
        <v>4</v>
      </c>
      <c r="AB32" s="2"/>
      <c r="AC32" s="1" t="s">
        <v>4</v>
      </c>
      <c r="AD32" s="2"/>
      <c r="AE32" s="1" t="s">
        <v>4</v>
      </c>
      <c r="AF32" s="2"/>
      <c r="AG32" s="1" t="s">
        <v>4</v>
      </c>
      <c r="AH32" s="2"/>
      <c r="AI32" s="1" t="s">
        <v>4</v>
      </c>
      <c r="AJ32" s="2"/>
      <c r="AK32" s="1" t="s">
        <v>4</v>
      </c>
      <c r="AL32" s="56"/>
      <c r="AM32" s="55" t="s">
        <v>4</v>
      </c>
      <c r="AN32" s="2"/>
      <c r="AO32" s="4" t="str">
        <f t="shared" si="0"/>
        <v>Not Started</v>
      </c>
      <c r="AP32" s="4" t="str">
        <f t="shared" si="1"/>
        <v>Not Started</v>
      </c>
      <c r="AQ32" s="4" t="str">
        <f t="shared" si="2"/>
        <v>Not Started</v>
      </c>
      <c r="AR32" s="4" t="str">
        <f t="shared" si="3"/>
        <v>Not Started</v>
      </c>
      <c r="AS32" s="3"/>
      <c r="AT32" s="64" t="str">
        <f t="shared" si="4"/>
        <v>Not Started</v>
      </c>
    </row>
    <row r="33" spans="1:46" x14ac:dyDescent="0.25">
      <c r="A33" s="27">
        <v>3</v>
      </c>
      <c r="B33" s="49">
        <v>303</v>
      </c>
      <c r="C33" s="55" t="s">
        <v>4</v>
      </c>
      <c r="D33" s="2"/>
      <c r="E33" s="1" t="s">
        <v>4</v>
      </c>
      <c r="F33" s="2"/>
      <c r="G33" s="1" t="s">
        <v>4</v>
      </c>
      <c r="H33" s="2"/>
      <c r="I33" s="1" t="s">
        <v>4</v>
      </c>
      <c r="J33" s="2"/>
      <c r="K33" s="1" t="s">
        <v>4</v>
      </c>
      <c r="L33" s="2"/>
      <c r="M33" s="1" t="s">
        <v>4</v>
      </c>
      <c r="N33" s="56"/>
      <c r="O33" s="55" t="s">
        <v>4</v>
      </c>
      <c r="P33" s="2"/>
      <c r="Q33" s="1" t="s">
        <v>4</v>
      </c>
      <c r="R33" s="56"/>
      <c r="S33" s="55" t="s">
        <v>4</v>
      </c>
      <c r="T33" s="2"/>
      <c r="U33" s="1" t="s">
        <v>4</v>
      </c>
      <c r="V33" s="2"/>
      <c r="W33" s="1" t="s">
        <v>4</v>
      </c>
      <c r="X33" s="2"/>
      <c r="Y33" s="1" t="s">
        <v>4</v>
      </c>
      <c r="Z33" s="2"/>
      <c r="AA33" s="1" t="s">
        <v>4</v>
      </c>
      <c r="AB33" s="2"/>
      <c r="AC33" s="1" t="s">
        <v>4</v>
      </c>
      <c r="AD33" s="2"/>
      <c r="AE33" s="1" t="s">
        <v>4</v>
      </c>
      <c r="AF33" s="2"/>
      <c r="AG33" s="1" t="s">
        <v>4</v>
      </c>
      <c r="AH33" s="2"/>
      <c r="AI33" s="1" t="s">
        <v>4</v>
      </c>
      <c r="AJ33" s="2"/>
      <c r="AK33" s="1" t="s">
        <v>4</v>
      </c>
      <c r="AL33" s="56"/>
      <c r="AM33" s="55" t="s">
        <v>4</v>
      </c>
      <c r="AN33" s="2"/>
      <c r="AO33" s="4" t="str">
        <f t="shared" si="0"/>
        <v>Not Started</v>
      </c>
      <c r="AP33" s="4" t="str">
        <f t="shared" si="1"/>
        <v>Not Started</v>
      </c>
      <c r="AQ33" s="4" t="str">
        <f t="shared" si="2"/>
        <v>Not Started</v>
      </c>
      <c r="AR33" s="4" t="str">
        <f t="shared" si="3"/>
        <v>Not Started</v>
      </c>
      <c r="AS33" s="3"/>
      <c r="AT33" s="64" t="str">
        <f t="shared" si="4"/>
        <v>Not Started</v>
      </c>
    </row>
    <row r="34" spans="1:46" x14ac:dyDescent="0.25">
      <c r="A34" s="27">
        <v>3</v>
      </c>
      <c r="B34" s="49">
        <v>304</v>
      </c>
      <c r="C34" s="55" t="s">
        <v>4</v>
      </c>
      <c r="D34" s="2"/>
      <c r="E34" s="1" t="s">
        <v>4</v>
      </c>
      <c r="F34" s="2"/>
      <c r="G34" s="1" t="s">
        <v>4</v>
      </c>
      <c r="H34" s="2"/>
      <c r="I34" s="1" t="s">
        <v>4</v>
      </c>
      <c r="J34" s="2"/>
      <c r="K34" s="1" t="s">
        <v>4</v>
      </c>
      <c r="L34" s="2"/>
      <c r="M34" s="1" t="s">
        <v>4</v>
      </c>
      <c r="N34" s="56"/>
      <c r="O34" s="55" t="s">
        <v>4</v>
      </c>
      <c r="P34" s="2"/>
      <c r="Q34" s="1" t="s">
        <v>4</v>
      </c>
      <c r="R34" s="56"/>
      <c r="S34" s="55" t="s">
        <v>4</v>
      </c>
      <c r="T34" s="2"/>
      <c r="U34" s="1" t="s">
        <v>4</v>
      </c>
      <c r="V34" s="2"/>
      <c r="W34" s="1" t="s">
        <v>4</v>
      </c>
      <c r="X34" s="2"/>
      <c r="Y34" s="1" t="s">
        <v>4</v>
      </c>
      <c r="Z34" s="2"/>
      <c r="AA34" s="1" t="s">
        <v>4</v>
      </c>
      <c r="AB34" s="2"/>
      <c r="AC34" s="1" t="s">
        <v>4</v>
      </c>
      <c r="AD34" s="2"/>
      <c r="AE34" s="1" t="s">
        <v>4</v>
      </c>
      <c r="AF34" s="2"/>
      <c r="AG34" s="1" t="s">
        <v>4</v>
      </c>
      <c r="AH34" s="2"/>
      <c r="AI34" s="1" t="s">
        <v>4</v>
      </c>
      <c r="AJ34" s="2"/>
      <c r="AK34" s="1" t="s">
        <v>4</v>
      </c>
      <c r="AL34" s="56"/>
      <c r="AM34" s="55" t="s">
        <v>4</v>
      </c>
      <c r="AN34" s="2"/>
      <c r="AO34" s="4" t="str">
        <f t="shared" si="0"/>
        <v>Not Started</v>
      </c>
      <c r="AP34" s="4" t="str">
        <f t="shared" si="1"/>
        <v>Not Started</v>
      </c>
      <c r="AQ34" s="4" t="str">
        <f t="shared" si="2"/>
        <v>Not Started</v>
      </c>
      <c r="AR34" s="4" t="str">
        <f t="shared" si="3"/>
        <v>Not Started</v>
      </c>
      <c r="AS34" s="3"/>
      <c r="AT34" s="64" t="str">
        <f t="shared" si="4"/>
        <v>Not Started</v>
      </c>
    </row>
    <row r="35" spans="1:46" x14ac:dyDescent="0.25">
      <c r="A35" s="27">
        <v>3</v>
      </c>
      <c r="B35" s="49">
        <v>305</v>
      </c>
      <c r="C35" s="55" t="s">
        <v>4</v>
      </c>
      <c r="D35" s="2"/>
      <c r="E35" s="1" t="s">
        <v>4</v>
      </c>
      <c r="F35" s="2"/>
      <c r="G35" s="1" t="s">
        <v>4</v>
      </c>
      <c r="H35" s="2"/>
      <c r="I35" s="1" t="s">
        <v>4</v>
      </c>
      <c r="J35" s="2"/>
      <c r="K35" s="1" t="s">
        <v>4</v>
      </c>
      <c r="L35" s="2"/>
      <c r="M35" s="1" t="s">
        <v>4</v>
      </c>
      <c r="N35" s="56"/>
      <c r="O35" s="55" t="s">
        <v>4</v>
      </c>
      <c r="P35" s="2"/>
      <c r="Q35" s="1" t="s">
        <v>4</v>
      </c>
      <c r="R35" s="56"/>
      <c r="S35" s="55" t="s">
        <v>4</v>
      </c>
      <c r="T35" s="2"/>
      <c r="U35" s="1" t="s">
        <v>4</v>
      </c>
      <c r="V35" s="2"/>
      <c r="W35" s="1" t="s">
        <v>4</v>
      </c>
      <c r="X35" s="2"/>
      <c r="Y35" s="1" t="s">
        <v>4</v>
      </c>
      <c r="Z35" s="2"/>
      <c r="AA35" s="1" t="s">
        <v>4</v>
      </c>
      <c r="AB35" s="2"/>
      <c r="AC35" s="1" t="s">
        <v>4</v>
      </c>
      <c r="AD35" s="2"/>
      <c r="AE35" s="1" t="s">
        <v>4</v>
      </c>
      <c r="AF35" s="2"/>
      <c r="AG35" s="1" t="s">
        <v>4</v>
      </c>
      <c r="AH35" s="2"/>
      <c r="AI35" s="1" t="s">
        <v>4</v>
      </c>
      <c r="AJ35" s="2"/>
      <c r="AK35" s="1" t="s">
        <v>4</v>
      </c>
      <c r="AL35" s="56"/>
      <c r="AM35" s="55" t="s">
        <v>4</v>
      </c>
      <c r="AN35" s="2"/>
      <c r="AO35" s="4" t="str">
        <f t="shared" si="0"/>
        <v>Not Started</v>
      </c>
      <c r="AP35" s="4" t="str">
        <f t="shared" si="1"/>
        <v>Not Started</v>
      </c>
      <c r="AQ35" s="4" t="str">
        <f t="shared" si="2"/>
        <v>Not Started</v>
      </c>
      <c r="AR35" s="4" t="str">
        <f t="shared" si="3"/>
        <v>Not Started</v>
      </c>
      <c r="AS35" s="3"/>
      <c r="AT35" s="64" t="str">
        <f t="shared" si="4"/>
        <v>Not Started</v>
      </c>
    </row>
    <row r="36" spans="1:46" x14ac:dyDescent="0.25">
      <c r="A36" s="27">
        <v>3</v>
      </c>
      <c r="B36" s="49">
        <v>306</v>
      </c>
      <c r="C36" s="55" t="s">
        <v>4</v>
      </c>
      <c r="D36" s="2"/>
      <c r="E36" s="1" t="s">
        <v>4</v>
      </c>
      <c r="F36" s="2"/>
      <c r="G36" s="1" t="s">
        <v>4</v>
      </c>
      <c r="H36" s="2"/>
      <c r="I36" s="1" t="s">
        <v>4</v>
      </c>
      <c r="J36" s="2"/>
      <c r="K36" s="1" t="s">
        <v>4</v>
      </c>
      <c r="L36" s="2"/>
      <c r="M36" s="1" t="s">
        <v>4</v>
      </c>
      <c r="N36" s="56"/>
      <c r="O36" s="55" t="s">
        <v>4</v>
      </c>
      <c r="P36" s="2"/>
      <c r="Q36" s="1" t="s">
        <v>4</v>
      </c>
      <c r="R36" s="56"/>
      <c r="S36" s="55" t="s">
        <v>4</v>
      </c>
      <c r="T36" s="2"/>
      <c r="U36" s="1" t="s">
        <v>4</v>
      </c>
      <c r="V36" s="2"/>
      <c r="W36" s="1" t="s">
        <v>4</v>
      </c>
      <c r="X36" s="2"/>
      <c r="Y36" s="1" t="s">
        <v>4</v>
      </c>
      <c r="Z36" s="2"/>
      <c r="AA36" s="1" t="s">
        <v>4</v>
      </c>
      <c r="AB36" s="2"/>
      <c r="AC36" s="1" t="s">
        <v>4</v>
      </c>
      <c r="AD36" s="2"/>
      <c r="AE36" s="1" t="s">
        <v>4</v>
      </c>
      <c r="AF36" s="2"/>
      <c r="AG36" s="1" t="s">
        <v>4</v>
      </c>
      <c r="AH36" s="2"/>
      <c r="AI36" s="1" t="s">
        <v>4</v>
      </c>
      <c r="AJ36" s="2"/>
      <c r="AK36" s="1" t="s">
        <v>4</v>
      </c>
      <c r="AL36" s="56"/>
      <c r="AM36" s="55" t="s">
        <v>4</v>
      </c>
      <c r="AN36" s="2"/>
      <c r="AO36" s="4" t="str">
        <f t="shared" si="0"/>
        <v>Not Started</v>
      </c>
      <c r="AP36" s="4" t="str">
        <f t="shared" si="1"/>
        <v>Not Started</v>
      </c>
      <c r="AQ36" s="4" t="str">
        <f t="shared" si="2"/>
        <v>Not Started</v>
      </c>
      <c r="AR36" s="4" t="str">
        <f t="shared" si="3"/>
        <v>Not Started</v>
      </c>
      <c r="AS36" s="3"/>
      <c r="AT36" s="64" t="str">
        <f t="shared" si="4"/>
        <v>Not Started</v>
      </c>
    </row>
    <row r="37" spans="1:46" x14ac:dyDescent="0.25">
      <c r="A37" s="27">
        <v>3</v>
      </c>
      <c r="B37" s="49">
        <v>307</v>
      </c>
      <c r="C37" s="55" t="s">
        <v>4</v>
      </c>
      <c r="D37" s="2"/>
      <c r="E37" s="1" t="s">
        <v>4</v>
      </c>
      <c r="F37" s="2"/>
      <c r="G37" s="1" t="s">
        <v>4</v>
      </c>
      <c r="H37" s="2"/>
      <c r="I37" s="1" t="s">
        <v>4</v>
      </c>
      <c r="J37" s="2"/>
      <c r="K37" s="1" t="s">
        <v>4</v>
      </c>
      <c r="L37" s="2"/>
      <c r="M37" s="1" t="s">
        <v>4</v>
      </c>
      <c r="N37" s="56"/>
      <c r="O37" s="55" t="s">
        <v>4</v>
      </c>
      <c r="P37" s="2"/>
      <c r="Q37" s="1" t="s">
        <v>4</v>
      </c>
      <c r="R37" s="56"/>
      <c r="S37" s="55" t="s">
        <v>4</v>
      </c>
      <c r="T37" s="2"/>
      <c r="U37" s="1" t="s">
        <v>4</v>
      </c>
      <c r="V37" s="2"/>
      <c r="W37" s="1" t="s">
        <v>4</v>
      </c>
      <c r="X37" s="2"/>
      <c r="Y37" s="1" t="s">
        <v>4</v>
      </c>
      <c r="Z37" s="2"/>
      <c r="AA37" s="1" t="s">
        <v>4</v>
      </c>
      <c r="AB37" s="2"/>
      <c r="AC37" s="1" t="s">
        <v>4</v>
      </c>
      <c r="AD37" s="2"/>
      <c r="AE37" s="1" t="s">
        <v>4</v>
      </c>
      <c r="AF37" s="2"/>
      <c r="AG37" s="1" t="s">
        <v>4</v>
      </c>
      <c r="AH37" s="2"/>
      <c r="AI37" s="1" t="s">
        <v>4</v>
      </c>
      <c r="AJ37" s="2"/>
      <c r="AK37" s="1" t="s">
        <v>4</v>
      </c>
      <c r="AL37" s="56"/>
      <c r="AM37" s="55" t="s">
        <v>4</v>
      </c>
      <c r="AN37" s="2"/>
      <c r="AO37" s="4" t="str">
        <f t="shared" si="0"/>
        <v>Not Started</v>
      </c>
      <c r="AP37" s="4" t="str">
        <f t="shared" si="1"/>
        <v>Not Started</v>
      </c>
      <c r="AQ37" s="4" t="str">
        <f t="shared" si="2"/>
        <v>Not Started</v>
      </c>
      <c r="AR37" s="4" t="str">
        <f t="shared" si="3"/>
        <v>Not Started</v>
      </c>
      <c r="AS37" s="3"/>
      <c r="AT37" s="64" t="str">
        <f t="shared" si="4"/>
        <v>Not Started</v>
      </c>
    </row>
    <row r="38" spans="1:46" x14ac:dyDescent="0.25">
      <c r="A38" s="27">
        <v>3</v>
      </c>
      <c r="B38" s="49">
        <v>308</v>
      </c>
      <c r="C38" s="55" t="s">
        <v>4</v>
      </c>
      <c r="D38" s="2"/>
      <c r="E38" s="1" t="s">
        <v>4</v>
      </c>
      <c r="F38" s="2"/>
      <c r="G38" s="1" t="s">
        <v>4</v>
      </c>
      <c r="H38" s="2"/>
      <c r="I38" s="1" t="s">
        <v>4</v>
      </c>
      <c r="J38" s="2"/>
      <c r="K38" s="1" t="s">
        <v>4</v>
      </c>
      <c r="L38" s="2"/>
      <c r="M38" s="1" t="s">
        <v>4</v>
      </c>
      <c r="N38" s="56"/>
      <c r="O38" s="55" t="s">
        <v>4</v>
      </c>
      <c r="P38" s="2"/>
      <c r="Q38" s="1" t="s">
        <v>4</v>
      </c>
      <c r="R38" s="56"/>
      <c r="S38" s="55" t="s">
        <v>4</v>
      </c>
      <c r="T38" s="2"/>
      <c r="U38" s="1" t="s">
        <v>4</v>
      </c>
      <c r="V38" s="2"/>
      <c r="W38" s="1" t="s">
        <v>4</v>
      </c>
      <c r="X38" s="2"/>
      <c r="Y38" s="1" t="s">
        <v>4</v>
      </c>
      <c r="Z38" s="2"/>
      <c r="AA38" s="1" t="s">
        <v>4</v>
      </c>
      <c r="AB38" s="2"/>
      <c r="AC38" s="1" t="s">
        <v>4</v>
      </c>
      <c r="AD38" s="2"/>
      <c r="AE38" s="1" t="s">
        <v>4</v>
      </c>
      <c r="AF38" s="2"/>
      <c r="AG38" s="1" t="s">
        <v>4</v>
      </c>
      <c r="AH38" s="2"/>
      <c r="AI38" s="1" t="s">
        <v>4</v>
      </c>
      <c r="AJ38" s="2"/>
      <c r="AK38" s="1" t="s">
        <v>4</v>
      </c>
      <c r="AL38" s="56"/>
      <c r="AM38" s="55" t="s">
        <v>4</v>
      </c>
      <c r="AN38" s="2"/>
      <c r="AO38" s="4" t="str">
        <f t="shared" si="0"/>
        <v>Not Started</v>
      </c>
      <c r="AP38" s="4" t="str">
        <f t="shared" si="1"/>
        <v>Not Started</v>
      </c>
      <c r="AQ38" s="4" t="str">
        <f t="shared" si="2"/>
        <v>Not Started</v>
      </c>
      <c r="AR38" s="4" t="str">
        <f t="shared" si="3"/>
        <v>Not Started</v>
      </c>
      <c r="AS38" s="3"/>
      <c r="AT38" s="64" t="str">
        <f t="shared" si="4"/>
        <v>Not Started</v>
      </c>
    </row>
    <row r="39" spans="1:46" x14ac:dyDescent="0.25">
      <c r="A39" s="27">
        <v>3</v>
      </c>
      <c r="B39" s="49">
        <v>309</v>
      </c>
      <c r="C39" s="55" t="s">
        <v>4</v>
      </c>
      <c r="D39" s="2"/>
      <c r="E39" s="1" t="s">
        <v>4</v>
      </c>
      <c r="F39" s="2"/>
      <c r="G39" s="1" t="s">
        <v>4</v>
      </c>
      <c r="H39" s="2"/>
      <c r="I39" s="1" t="s">
        <v>4</v>
      </c>
      <c r="J39" s="2"/>
      <c r="K39" s="1" t="s">
        <v>4</v>
      </c>
      <c r="L39" s="2"/>
      <c r="M39" s="1" t="s">
        <v>4</v>
      </c>
      <c r="N39" s="56"/>
      <c r="O39" s="55" t="s">
        <v>4</v>
      </c>
      <c r="P39" s="2"/>
      <c r="Q39" s="1" t="s">
        <v>4</v>
      </c>
      <c r="R39" s="56"/>
      <c r="S39" s="55" t="s">
        <v>4</v>
      </c>
      <c r="T39" s="2"/>
      <c r="U39" s="1" t="s">
        <v>4</v>
      </c>
      <c r="V39" s="2"/>
      <c r="W39" s="1" t="s">
        <v>4</v>
      </c>
      <c r="X39" s="2"/>
      <c r="Y39" s="1" t="s">
        <v>4</v>
      </c>
      <c r="Z39" s="2"/>
      <c r="AA39" s="1" t="s">
        <v>4</v>
      </c>
      <c r="AB39" s="2"/>
      <c r="AC39" s="1" t="s">
        <v>4</v>
      </c>
      <c r="AD39" s="2"/>
      <c r="AE39" s="1" t="s">
        <v>4</v>
      </c>
      <c r="AF39" s="2"/>
      <c r="AG39" s="1" t="s">
        <v>4</v>
      </c>
      <c r="AH39" s="2"/>
      <c r="AI39" s="1" t="s">
        <v>4</v>
      </c>
      <c r="AJ39" s="2"/>
      <c r="AK39" s="1" t="s">
        <v>4</v>
      </c>
      <c r="AL39" s="56"/>
      <c r="AM39" s="55" t="s">
        <v>4</v>
      </c>
      <c r="AN39" s="2"/>
      <c r="AO39" s="4" t="str">
        <f t="shared" si="0"/>
        <v>Not Started</v>
      </c>
      <c r="AP39" s="4" t="str">
        <f t="shared" si="1"/>
        <v>Not Started</v>
      </c>
      <c r="AQ39" s="4" t="str">
        <f t="shared" si="2"/>
        <v>Not Started</v>
      </c>
      <c r="AR39" s="4" t="str">
        <f t="shared" si="3"/>
        <v>Not Started</v>
      </c>
      <c r="AS39" s="3"/>
      <c r="AT39" s="64" t="str">
        <f t="shared" si="4"/>
        <v>Not Started</v>
      </c>
    </row>
    <row r="40" spans="1:46" x14ac:dyDescent="0.25">
      <c r="A40" s="27">
        <v>3</v>
      </c>
      <c r="B40" s="49">
        <v>310</v>
      </c>
      <c r="C40" s="55" t="s">
        <v>4</v>
      </c>
      <c r="D40" s="2"/>
      <c r="E40" s="1" t="s">
        <v>4</v>
      </c>
      <c r="F40" s="2"/>
      <c r="G40" s="1" t="s">
        <v>4</v>
      </c>
      <c r="H40" s="2"/>
      <c r="I40" s="1" t="s">
        <v>4</v>
      </c>
      <c r="J40" s="2"/>
      <c r="K40" s="1" t="s">
        <v>4</v>
      </c>
      <c r="L40" s="2"/>
      <c r="M40" s="1" t="s">
        <v>4</v>
      </c>
      <c r="N40" s="56"/>
      <c r="O40" s="55" t="s">
        <v>4</v>
      </c>
      <c r="P40" s="2"/>
      <c r="Q40" s="1" t="s">
        <v>4</v>
      </c>
      <c r="R40" s="56"/>
      <c r="S40" s="55" t="s">
        <v>4</v>
      </c>
      <c r="T40" s="2"/>
      <c r="U40" s="1" t="s">
        <v>4</v>
      </c>
      <c r="V40" s="2"/>
      <c r="W40" s="1" t="s">
        <v>4</v>
      </c>
      <c r="X40" s="2"/>
      <c r="Y40" s="1" t="s">
        <v>4</v>
      </c>
      <c r="Z40" s="2"/>
      <c r="AA40" s="1" t="s">
        <v>4</v>
      </c>
      <c r="AB40" s="2"/>
      <c r="AC40" s="1" t="s">
        <v>4</v>
      </c>
      <c r="AD40" s="2"/>
      <c r="AE40" s="1" t="s">
        <v>4</v>
      </c>
      <c r="AF40" s="2"/>
      <c r="AG40" s="1" t="s">
        <v>4</v>
      </c>
      <c r="AH40" s="2"/>
      <c r="AI40" s="1" t="s">
        <v>4</v>
      </c>
      <c r="AJ40" s="2"/>
      <c r="AK40" s="1" t="s">
        <v>4</v>
      </c>
      <c r="AL40" s="56"/>
      <c r="AM40" s="55" t="s">
        <v>4</v>
      </c>
      <c r="AN40" s="2"/>
      <c r="AO40" s="4" t="str">
        <f t="shared" si="0"/>
        <v>Not Started</v>
      </c>
      <c r="AP40" s="4" t="str">
        <f t="shared" si="1"/>
        <v>Not Started</v>
      </c>
      <c r="AQ40" s="4" t="str">
        <f t="shared" si="2"/>
        <v>Not Started</v>
      </c>
      <c r="AR40" s="4" t="str">
        <f t="shared" si="3"/>
        <v>Not Started</v>
      </c>
      <c r="AS40" s="3"/>
      <c r="AT40" s="64" t="str">
        <f t="shared" si="4"/>
        <v>Not Started</v>
      </c>
    </row>
    <row r="41" spans="1:46" x14ac:dyDescent="0.25">
      <c r="A41" s="27">
        <v>3</v>
      </c>
      <c r="B41" s="49">
        <v>311</v>
      </c>
      <c r="C41" s="55" t="s">
        <v>4</v>
      </c>
      <c r="D41" s="2"/>
      <c r="E41" s="1" t="s">
        <v>4</v>
      </c>
      <c r="F41" s="2"/>
      <c r="G41" s="1" t="s">
        <v>4</v>
      </c>
      <c r="H41" s="2"/>
      <c r="I41" s="1" t="s">
        <v>4</v>
      </c>
      <c r="J41" s="2"/>
      <c r="K41" s="1" t="s">
        <v>4</v>
      </c>
      <c r="L41" s="2"/>
      <c r="M41" s="1" t="s">
        <v>4</v>
      </c>
      <c r="N41" s="56"/>
      <c r="O41" s="55" t="s">
        <v>4</v>
      </c>
      <c r="P41" s="2"/>
      <c r="Q41" s="1" t="s">
        <v>4</v>
      </c>
      <c r="R41" s="56"/>
      <c r="S41" s="55" t="s">
        <v>4</v>
      </c>
      <c r="T41" s="2"/>
      <c r="U41" s="1" t="s">
        <v>4</v>
      </c>
      <c r="V41" s="2"/>
      <c r="W41" s="1" t="s">
        <v>4</v>
      </c>
      <c r="X41" s="2"/>
      <c r="Y41" s="1" t="s">
        <v>4</v>
      </c>
      <c r="Z41" s="2"/>
      <c r="AA41" s="1" t="s">
        <v>4</v>
      </c>
      <c r="AB41" s="2"/>
      <c r="AC41" s="1" t="s">
        <v>4</v>
      </c>
      <c r="AD41" s="2"/>
      <c r="AE41" s="1" t="s">
        <v>4</v>
      </c>
      <c r="AF41" s="2"/>
      <c r="AG41" s="1" t="s">
        <v>4</v>
      </c>
      <c r="AH41" s="2"/>
      <c r="AI41" s="1" t="s">
        <v>4</v>
      </c>
      <c r="AJ41" s="2"/>
      <c r="AK41" s="1" t="s">
        <v>4</v>
      </c>
      <c r="AL41" s="56"/>
      <c r="AM41" s="55" t="s">
        <v>4</v>
      </c>
      <c r="AN41" s="2"/>
      <c r="AO41" s="4" t="str">
        <f t="shared" si="0"/>
        <v>Not Started</v>
      </c>
      <c r="AP41" s="4" t="str">
        <f t="shared" si="1"/>
        <v>Not Started</v>
      </c>
      <c r="AQ41" s="4" t="str">
        <f t="shared" si="2"/>
        <v>Not Started</v>
      </c>
      <c r="AR41" s="4" t="str">
        <f t="shared" si="3"/>
        <v>Not Started</v>
      </c>
      <c r="AS41" s="3"/>
      <c r="AT41" s="64" t="str">
        <f t="shared" si="4"/>
        <v>Not Started</v>
      </c>
    </row>
    <row r="42" spans="1:46" ht="15.75" thickBot="1" x14ac:dyDescent="0.3">
      <c r="A42" s="28">
        <v>3</v>
      </c>
      <c r="B42" s="50">
        <v>312</v>
      </c>
      <c r="C42" s="57" t="s">
        <v>4</v>
      </c>
      <c r="D42" s="58"/>
      <c r="E42" s="59" t="s">
        <v>4</v>
      </c>
      <c r="F42" s="58"/>
      <c r="G42" s="59" t="s">
        <v>4</v>
      </c>
      <c r="H42" s="58"/>
      <c r="I42" s="59" t="s">
        <v>4</v>
      </c>
      <c r="J42" s="58"/>
      <c r="K42" s="59" t="s">
        <v>4</v>
      </c>
      <c r="L42" s="58"/>
      <c r="M42" s="59" t="s">
        <v>4</v>
      </c>
      <c r="N42" s="60"/>
      <c r="O42" s="57" t="s">
        <v>4</v>
      </c>
      <c r="P42" s="58"/>
      <c r="Q42" s="59" t="s">
        <v>4</v>
      </c>
      <c r="R42" s="60"/>
      <c r="S42" s="57" t="s">
        <v>4</v>
      </c>
      <c r="T42" s="58"/>
      <c r="U42" s="59" t="s">
        <v>4</v>
      </c>
      <c r="V42" s="58"/>
      <c r="W42" s="59" t="s">
        <v>4</v>
      </c>
      <c r="X42" s="58"/>
      <c r="Y42" s="59" t="s">
        <v>4</v>
      </c>
      <c r="Z42" s="58"/>
      <c r="AA42" s="59" t="s">
        <v>4</v>
      </c>
      <c r="AB42" s="58"/>
      <c r="AC42" s="59" t="s">
        <v>4</v>
      </c>
      <c r="AD42" s="58"/>
      <c r="AE42" s="59" t="s">
        <v>4</v>
      </c>
      <c r="AF42" s="58"/>
      <c r="AG42" s="59" t="s">
        <v>4</v>
      </c>
      <c r="AH42" s="58"/>
      <c r="AI42" s="59" t="s">
        <v>4</v>
      </c>
      <c r="AJ42" s="58"/>
      <c r="AK42" s="59" t="s">
        <v>4</v>
      </c>
      <c r="AL42" s="60"/>
      <c r="AM42" s="57" t="s">
        <v>4</v>
      </c>
      <c r="AN42" s="58"/>
      <c r="AO42" s="65" t="str">
        <f t="shared" si="0"/>
        <v>Not Started</v>
      </c>
      <c r="AP42" s="65" t="str">
        <f t="shared" si="1"/>
        <v>Not Started</v>
      </c>
      <c r="AQ42" s="65" t="str">
        <f t="shared" si="2"/>
        <v>Not Started</v>
      </c>
      <c r="AR42" s="65" t="str">
        <f t="shared" si="3"/>
        <v>Not Started</v>
      </c>
      <c r="AS42" s="66"/>
      <c r="AT42" s="67" t="str">
        <f t="shared" si="4"/>
        <v>Not Started</v>
      </c>
    </row>
  </sheetData>
  <autoFilter ref="A6:AT6" xr:uid="{00000000-0001-0000-0100-000000000000}"/>
  <mergeCells count="31">
    <mergeCell ref="A5:B5"/>
    <mergeCell ref="A4:B4"/>
    <mergeCell ref="AS4:AT4"/>
    <mergeCell ref="C1:AT1"/>
    <mergeCell ref="C2:AT2"/>
    <mergeCell ref="A1:B1"/>
    <mergeCell ref="A2:B2"/>
    <mergeCell ref="S4:AL4"/>
    <mergeCell ref="AO4:AR4"/>
    <mergeCell ref="C5:D5"/>
    <mergeCell ref="E5:F5"/>
    <mergeCell ref="K5:L5"/>
    <mergeCell ref="M5:N5"/>
    <mergeCell ref="W5:X5"/>
    <mergeCell ref="O5:P5"/>
    <mergeCell ref="Q5:R5"/>
    <mergeCell ref="Y5:Z5"/>
    <mergeCell ref="AG5:AH5"/>
    <mergeCell ref="AI5:AJ5"/>
    <mergeCell ref="C4:N4"/>
    <mergeCell ref="AA5:AB5"/>
    <mergeCell ref="AC5:AD5"/>
    <mergeCell ref="AK5:AL5"/>
    <mergeCell ref="AM5:AN5"/>
    <mergeCell ref="G5:H5"/>
    <mergeCell ref="I5:J5"/>
    <mergeCell ref="AM4:AN4"/>
    <mergeCell ref="O4:R4"/>
    <mergeCell ref="S5:T5"/>
    <mergeCell ref="U5:V5"/>
    <mergeCell ref="AE5:AF5"/>
  </mergeCells>
  <conditionalFormatting sqref="C7:C42">
    <cfRule type="cellIs" dxfId="104" priority="1" operator="equal">
      <formula>"Not Started"</formula>
    </cfRule>
    <cfRule type="cellIs" dxfId="103" priority="2" operator="equal">
      <formula>"In Progress"</formula>
    </cfRule>
    <cfRule type="cellIs" dxfId="102" priority="3" operator="equal">
      <formula>"Complete"</formula>
    </cfRule>
    <cfRule type="cellIs" dxfId="101" priority="4" operator="equal">
      <formula>"Deficiency"</formula>
    </cfRule>
    <cfRule type="cellIs" dxfId="100" priority="5" operator="equal">
      <formula>"On Hold"</formula>
    </cfRule>
  </conditionalFormatting>
  <conditionalFormatting sqref="E7:E42">
    <cfRule type="cellIs" dxfId="99" priority="6" operator="equal">
      <formula>"Not Started"</formula>
    </cfRule>
    <cfRule type="cellIs" dxfId="98" priority="7" operator="equal">
      <formula>"In Progress"</formula>
    </cfRule>
    <cfRule type="cellIs" dxfId="97" priority="8" operator="equal">
      <formula>"Complete"</formula>
    </cfRule>
    <cfRule type="cellIs" dxfId="96" priority="9" operator="equal">
      <formula>"Deficiency"</formula>
    </cfRule>
    <cfRule type="cellIs" dxfId="95" priority="10" operator="equal">
      <formula>"On Hold"</formula>
    </cfRule>
  </conditionalFormatting>
  <conditionalFormatting sqref="G7:G42">
    <cfRule type="cellIs" dxfId="94" priority="11" operator="equal">
      <formula>"Not Started"</formula>
    </cfRule>
    <cfRule type="cellIs" dxfId="93" priority="12" operator="equal">
      <formula>"In Progress"</formula>
    </cfRule>
    <cfRule type="cellIs" dxfId="92" priority="13" operator="equal">
      <formula>"Complete"</formula>
    </cfRule>
    <cfRule type="cellIs" dxfId="91" priority="14" operator="equal">
      <formula>"Deficiency"</formula>
    </cfRule>
    <cfRule type="cellIs" dxfId="90" priority="15" operator="equal">
      <formula>"On Hold"</formula>
    </cfRule>
  </conditionalFormatting>
  <conditionalFormatting sqref="I7:I42">
    <cfRule type="cellIs" dxfId="89" priority="16" operator="equal">
      <formula>"Not Started"</formula>
    </cfRule>
    <cfRule type="cellIs" dxfId="88" priority="17" operator="equal">
      <formula>"In Progress"</formula>
    </cfRule>
    <cfRule type="cellIs" dxfId="87" priority="18" operator="equal">
      <formula>"Complete"</formula>
    </cfRule>
    <cfRule type="cellIs" dxfId="86" priority="19" operator="equal">
      <formula>"Deficiency"</formula>
    </cfRule>
    <cfRule type="cellIs" dxfId="85" priority="20" operator="equal">
      <formula>"On Hold"</formula>
    </cfRule>
  </conditionalFormatting>
  <conditionalFormatting sqref="K7:K42">
    <cfRule type="cellIs" dxfId="84" priority="21" operator="equal">
      <formula>"Not Started"</formula>
    </cfRule>
    <cfRule type="cellIs" dxfId="83" priority="22" operator="equal">
      <formula>"In Progress"</formula>
    </cfRule>
    <cfRule type="cellIs" dxfId="82" priority="23" operator="equal">
      <formula>"Complete"</formula>
    </cfRule>
    <cfRule type="cellIs" dxfId="81" priority="24" operator="equal">
      <formula>"Deficiency"</formula>
    </cfRule>
    <cfRule type="cellIs" dxfId="80" priority="25" operator="equal">
      <formula>"On Hold"</formula>
    </cfRule>
  </conditionalFormatting>
  <conditionalFormatting sqref="M7:M42">
    <cfRule type="cellIs" dxfId="79" priority="26" operator="equal">
      <formula>"Not Started"</formula>
    </cfRule>
    <cfRule type="cellIs" dxfId="78" priority="27" operator="equal">
      <formula>"In Progress"</formula>
    </cfRule>
    <cfRule type="cellIs" dxfId="77" priority="28" operator="equal">
      <formula>"Complete"</formula>
    </cfRule>
    <cfRule type="cellIs" dxfId="76" priority="29" operator="equal">
      <formula>"Deficiency"</formula>
    </cfRule>
    <cfRule type="cellIs" dxfId="75" priority="30" operator="equal">
      <formula>"On Hold"</formula>
    </cfRule>
  </conditionalFormatting>
  <conditionalFormatting sqref="O7:O42">
    <cfRule type="cellIs" dxfId="74" priority="31" operator="equal">
      <formula>"Not Started"</formula>
    </cfRule>
    <cfRule type="cellIs" dxfId="73" priority="32" operator="equal">
      <formula>"In Progress"</formula>
    </cfRule>
    <cfRule type="cellIs" dxfId="72" priority="33" operator="equal">
      <formula>"Complete"</formula>
    </cfRule>
    <cfRule type="cellIs" dxfId="71" priority="34" operator="equal">
      <formula>"Deficiency"</formula>
    </cfRule>
    <cfRule type="cellIs" dxfId="70" priority="35" operator="equal">
      <formula>"On Hold"</formula>
    </cfRule>
  </conditionalFormatting>
  <conditionalFormatting sqref="Q7:Q42">
    <cfRule type="cellIs" dxfId="69" priority="36" operator="equal">
      <formula>"Not Started"</formula>
    </cfRule>
    <cfRule type="cellIs" dxfId="68" priority="37" operator="equal">
      <formula>"In Progress"</formula>
    </cfRule>
    <cfRule type="cellIs" dxfId="67" priority="38" operator="equal">
      <formula>"Complete"</formula>
    </cfRule>
    <cfRule type="cellIs" dxfId="66" priority="39" operator="equal">
      <formula>"Deficiency"</formula>
    </cfRule>
    <cfRule type="cellIs" dxfId="65" priority="40" operator="equal">
      <formula>"On Hold"</formula>
    </cfRule>
  </conditionalFormatting>
  <conditionalFormatting sqref="S7:S42">
    <cfRule type="cellIs" dxfId="64" priority="41" operator="equal">
      <formula>"Not Started"</formula>
    </cfRule>
    <cfRule type="cellIs" dxfId="63" priority="42" operator="equal">
      <formula>"In Progress"</formula>
    </cfRule>
    <cfRule type="cellIs" dxfId="62" priority="43" operator="equal">
      <formula>"Complete"</formula>
    </cfRule>
    <cfRule type="cellIs" dxfId="61" priority="44" operator="equal">
      <formula>"Deficiency"</formula>
    </cfRule>
    <cfRule type="cellIs" dxfId="60" priority="45" operator="equal">
      <formula>"On Hold"</formula>
    </cfRule>
  </conditionalFormatting>
  <conditionalFormatting sqref="U7:U42">
    <cfRule type="cellIs" dxfId="59" priority="46" operator="equal">
      <formula>"Not Started"</formula>
    </cfRule>
    <cfRule type="cellIs" dxfId="58" priority="47" operator="equal">
      <formula>"In Progress"</formula>
    </cfRule>
    <cfRule type="cellIs" dxfId="57" priority="48" operator="equal">
      <formula>"Complete"</formula>
    </cfRule>
    <cfRule type="cellIs" dxfId="56" priority="49" operator="equal">
      <formula>"Deficiency"</formula>
    </cfRule>
    <cfRule type="cellIs" dxfId="55" priority="50" operator="equal">
      <formula>"On Hold"</formula>
    </cfRule>
  </conditionalFormatting>
  <conditionalFormatting sqref="W7:W42">
    <cfRule type="cellIs" dxfId="54" priority="51" operator="equal">
      <formula>"Not Started"</formula>
    </cfRule>
    <cfRule type="cellIs" dxfId="53" priority="52" operator="equal">
      <formula>"In Progress"</formula>
    </cfRule>
    <cfRule type="cellIs" dxfId="52" priority="53" operator="equal">
      <formula>"Complete"</formula>
    </cfRule>
    <cfRule type="cellIs" dxfId="51" priority="54" operator="equal">
      <formula>"Deficiency"</formula>
    </cfRule>
    <cfRule type="cellIs" dxfId="50" priority="55" operator="equal">
      <formula>"On Hold"</formula>
    </cfRule>
  </conditionalFormatting>
  <conditionalFormatting sqref="Y7:Y42">
    <cfRule type="cellIs" dxfId="49" priority="56" operator="equal">
      <formula>"Not Started"</formula>
    </cfRule>
    <cfRule type="cellIs" dxfId="48" priority="57" operator="equal">
      <formula>"In Progress"</formula>
    </cfRule>
    <cfRule type="cellIs" dxfId="47" priority="58" operator="equal">
      <formula>"Complete"</formula>
    </cfRule>
    <cfRule type="cellIs" dxfId="46" priority="59" operator="equal">
      <formula>"Deficiency"</formula>
    </cfRule>
    <cfRule type="cellIs" dxfId="45" priority="60" operator="equal">
      <formula>"On Hold"</formula>
    </cfRule>
  </conditionalFormatting>
  <conditionalFormatting sqref="AA7:AA42">
    <cfRule type="cellIs" dxfId="44" priority="61" operator="equal">
      <formula>"Not Started"</formula>
    </cfRule>
    <cfRule type="cellIs" dxfId="43" priority="62" operator="equal">
      <formula>"In Progress"</formula>
    </cfRule>
    <cfRule type="cellIs" dxfId="42" priority="63" operator="equal">
      <formula>"Complete"</formula>
    </cfRule>
    <cfRule type="cellIs" dxfId="41" priority="64" operator="equal">
      <formula>"Deficiency"</formula>
    </cfRule>
    <cfRule type="cellIs" dxfId="40" priority="65" operator="equal">
      <formula>"On Hold"</formula>
    </cfRule>
  </conditionalFormatting>
  <conditionalFormatting sqref="AC7:AC42">
    <cfRule type="cellIs" dxfId="39" priority="66" operator="equal">
      <formula>"Not Started"</formula>
    </cfRule>
    <cfRule type="cellIs" dxfId="38" priority="67" operator="equal">
      <formula>"In Progress"</formula>
    </cfRule>
    <cfRule type="cellIs" dxfId="37" priority="68" operator="equal">
      <formula>"Complete"</formula>
    </cfRule>
    <cfRule type="cellIs" dxfId="36" priority="69" operator="equal">
      <formula>"Deficiency"</formula>
    </cfRule>
    <cfRule type="cellIs" dxfId="35" priority="70" operator="equal">
      <formula>"On Hold"</formula>
    </cfRule>
  </conditionalFormatting>
  <conditionalFormatting sqref="AE7:AE42">
    <cfRule type="cellIs" dxfId="34" priority="71" operator="equal">
      <formula>"Not Started"</formula>
    </cfRule>
    <cfRule type="cellIs" dxfId="33" priority="72" operator="equal">
      <formula>"In Progress"</formula>
    </cfRule>
    <cfRule type="cellIs" dxfId="32" priority="73" operator="equal">
      <formula>"Complete"</formula>
    </cfRule>
    <cfRule type="cellIs" dxfId="31" priority="74" operator="equal">
      <formula>"Deficiency"</formula>
    </cfRule>
    <cfRule type="cellIs" dxfId="30" priority="75" operator="equal">
      <formula>"On Hold"</formula>
    </cfRule>
  </conditionalFormatting>
  <conditionalFormatting sqref="AG7:AG42">
    <cfRule type="cellIs" dxfId="29" priority="76" operator="equal">
      <formula>"Not Started"</formula>
    </cfRule>
    <cfRule type="cellIs" dxfId="28" priority="77" operator="equal">
      <formula>"In Progress"</formula>
    </cfRule>
    <cfRule type="cellIs" dxfId="27" priority="78" operator="equal">
      <formula>"Complete"</formula>
    </cfRule>
    <cfRule type="cellIs" dxfId="26" priority="79" operator="equal">
      <formula>"Deficiency"</formula>
    </cfRule>
    <cfRule type="cellIs" dxfId="25" priority="80" operator="equal">
      <formula>"On Hold"</formula>
    </cfRule>
  </conditionalFormatting>
  <conditionalFormatting sqref="AI7:AI42">
    <cfRule type="cellIs" dxfId="24" priority="81" operator="equal">
      <formula>"Not Started"</formula>
    </cfRule>
    <cfRule type="cellIs" dxfId="23" priority="82" operator="equal">
      <formula>"In Progress"</formula>
    </cfRule>
    <cfRule type="cellIs" dxfId="22" priority="83" operator="equal">
      <formula>"Complete"</formula>
    </cfRule>
    <cfRule type="cellIs" dxfId="21" priority="84" operator="equal">
      <formula>"Deficiency"</formula>
    </cfRule>
    <cfRule type="cellIs" dxfId="20" priority="85" operator="equal">
      <formula>"On Hold"</formula>
    </cfRule>
  </conditionalFormatting>
  <conditionalFormatting sqref="AK7:AK42">
    <cfRule type="cellIs" dxfId="19" priority="86" operator="equal">
      <formula>"Not Started"</formula>
    </cfRule>
    <cfRule type="cellIs" dxfId="18" priority="87" operator="equal">
      <formula>"In Progress"</formula>
    </cfRule>
    <cfRule type="cellIs" dxfId="17" priority="88" operator="equal">
      <formula>"Complete"</formula>
    </cfRule>
    <cfRule type="cellIs" dxfId="16" priority="89" operator="equal">
      <formula>"Deficiency"</formula>
    </cfRule>
    <cfRule type="cellIs" dxfId="15" priority="90" operator="equal">
      <formula>"On Hold"</formula>
    </cfRule>
  </conditionalFormatting>
  <conditionalFormatting sqref="AM7:AM42">
    <cfRule type="cellIs" dxfId="14" priority="91" operator="equal">
      <formula>"Not Started"</formula>
    </cfRule>
    <cfRule type="cellIs" dxfId="13" priority="92" operator="equal">
      <formula>"In Progress"</formula>
    </cfRule>
    <cfRule type="cellIs" dxfId="12" priority="93" operator="equal">
      <formula>"Complete"</formula>
    </cfRule>
    <cfRule type="cellIs" dxfId="11" priority="94" operator="equal">
      <formula>"Deficiency"</formula>
    </cfRule>
    <cfRule type="cellIs" dxfId="10" priority="95" operator="equal">
      <formula>"On Hold"</formula>
    </cfRule>
  </conditionalFormatting>
  <conditionalFormatting sqref="AO7:AR42">
    <cfRule type="cellIs" dxfId="9" priority="96" operator="equal">
      <formula>"Not Started"</formula>
    </cfRule>
    <cfRule type="cellIs" dxfId="8" priority="97" operator="equal">
      <formula>"In Progress"</formula>
    </cfRule>
    <cfRule type="cellIs" dxfId="7" priority="98" operator="equal">
      <formula>"Complete"</formula>
    </cfRule>
    <cfRule type="cellIs" dxfId="6" priority="99" operator="equal">
      <formula>"Deficiency"</formula>
    </cfRule>
    <cfRule type="cellIs" dxfId="5" priority="100" operator="equal">
      <formula>"On Hold"</formula>
    </cfRule>
  </conditionalFormatting>
  <conditionalFormatting sqref="AT7:AT42">
    <cfRule type="cellIs" dxfId="4" priority="121" operator="equal">
      <formula>"Not Started"</formula>
    </cfRule>
    <cfRule type="cellIs" dxfId="3" priority="122" operator="equal">
      <formula>"In Progress"</formula>
    </cfRule>
    <cfRule type="cellIs" dxfId="2" priority="123" operator="equal">
      <formula>"Complete"</formula>
    </cfRule>
    <cfRule type="cellIs" dxfId="1" priority="124" operator="equal">
      <formula>"Deficiency"</formula>
    </cfRule>
    <cfRule type="cellIs" dxfId="0" priority="125" operator="equal">
      <formula>"On Hold"</formula>
    </cfRule>
  </conditionalFormatting>
  <dataValidations count="1">
    <dataValidation type="list" allowBlank="1" sqref="C7:C42 E7:E42 G7:G42 I7:I42 K7:K42 M7:M42 O7:O42 Q7:Q42 S7:S42 U7:U42 W7:W42 Y7:Y42 AA7:AA42 AC7:AC42 AE7:AE42 AG7:AG42 AI7:AI42 AK7:AK42 AM7:AM42" xr:uid="{00000000-0002-0000-0100-000000000000}">
      <formula1>"Not Started,In Progress,Complete,Deficiency,On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Unit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Godbout</cp:lastModifiedBy>
  <dcterms:created xsi:type="dcterms:W3CDTF">2026-07-30T21:53:26Z</dcterms:created>
  <dcterms:modified xsi:type="dcterms:W3CDTF">2026-07-30T22:24:39Z</dcterms:modified>
</cp:coreProperties>
</file>