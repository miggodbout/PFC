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it Tracker" sheetId="2" state="visible" r:id="rId2"/>
  </sheets>
  <definedNames>
    <definedName name="_xlnm._FilterDatabase" localSheetId="1" hidden="1">'Unit Tracker'!$A$6:$AT$6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AAAAAA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b val="1"/>
      <color rgb="FFFFFFFF"/>
      <sz val="7.5"/>
    </font>
    <font>
      <name val="Arial"/>
      <color rgb="FF1A1A1A"/>
      <sz val="9"/>
    </font>
    <font>
      <name val="Arial"/>
      <sz val="8"/>
    </font>
    <font>
      <name val="Arial"/>
      <b val="1"/>
      <sz val="8"/>
    </font>
    <font>
      <name val="Arial"/>
      <b val="1"/>
      <color rgb="FF1A1A1A"/>
      <sz val="11"/>
    </font>
    <font>
      <name val="Calibri"/>
      <b val="1"/>
      <sz val="12"/>
    </font>
    <font>
      <name val="Calibri"/>
      <b val="1"/>
      <sz val="14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FFFFFF"/>
      <sz val="7.5"/>
    </font>
    <font>
      <name val="Arial"/>
      <sz val="9"/>
    </font>
  </fonts>
  <fills count="17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42424"/>
      </patternFill>
    </fill>
    <fill>
      <patternFill patternType="solid">
        <fgColor rgb="FF404040"/>
      </patternFill>
    </fill>
    <fill>
      <patternFill patternType="solid">
        <fgColor rgb="FFDE7452"/>
      </patternFill>
    </fill>
    <fill>
      <patternFill patternType="solid">
        <fgColor rgb="FF555555"/>
      </patternFill>
    </fill>
    <fill>
      <patternFill patternType="solid">
        <fgColor rgb="FFEFEFE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F5F5F5"/>
      </patternFill>
    </fill>
    <fill>
      <patternFill patternType="solid">
        <fgColor rgb="00DE7452"/>
      </patternFill>
    </fill>
    <fill>
      <patternFill patternType="solid">
        <fgColor rgb="00404040"/>
      </patternFill>
    </fill>
    <fill>
      <patternFill patternType="solid">
        <fgColor rgb="00555555"/>
      </patternFill>
    </fill>
    <fill>
      <patternFill patternType="solid">
        <fgColor rgb="00EFEFEF"/>
      </patternFill>
    </fill>
  </fills>
  <borders count="4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medium">
        <color indexed="64"/>
      </right>
      <top/>
      <bottom style="thin">
        <color rgb="FFD0D0D0"/>
      </bottom>
      <diagonal/>
    </border>
    <border>
      <left style="medium">
        <color indexed="6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indexed="64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 style="thin">
        <color rgb="FFD0D0D0"/>
      </right>
      <top style="thin">
        <color rgb="FFD0D0D0"/>
      </top>
      <bottom style="medium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indexed="64"/>
      </bottom>
      <diagonal/>
    </border>
    <border>
      <left style="thin">
        <color rgb="FFD0D0D0"/>
      </left>
      <right style="medium">
        <color indexed="64"/>
      </right>
      <top style="thin">
        <color rgb="FFD0D0D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/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7" fillId="7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7" borderId="2" applyAlignment="1" pivotButton="0" quotePrefix="0" xfId="0">
      <alignment horizontal="center"/>
    </xf>
    <xf numFmtId="0" fontId="9" fillId="8" borderId="2" applyAlignment="1" pivotButton="0" quotePrefix="0" xfId="0">
      <alignment horizontal="center"/>
    </xf>
    <xf numFmtId="0" fontId="9" fillId="9" borderId="2" applyAlignment="1" pivotButton="0" quotePrefix="0" xfId="0">
      <alignment horizontal="center"/>
    </xf>
    <xf numFmtId="0" fontId="9" fillId="10" borderId="2" applyAlignment="1" pivotButton="0" quotePrefix="0" xfId="0">
      <alignment horizontal="center"/>
    </xf>
    <xf numFmtId="0" fontId="9" fillId="11" borderId="2" applyAlignment="1" pivotButton="0" quotePrefix="0" xfId="0">
      <alignment horizontal="center"/>
    </xf>
    <xf numFmtId="0" fontId="9" fillId="12" borderId="2" pivotButton="0" quotePrefix="0" xfId="0"/>
    <xf numFmtId="0" fontId="10" fillId="7" borderId="2" applyAlignment="1" pivotButton="0" quotePrefix="0" xfId="0">
      <alignment horizontal="center"/>
    </xf>
    <xf numFmtId="0" fontId="10" fillId="8" borderId="2" applyAlignment="1" pivotButton="0" quotePrefix="0" xfId="0">
      <alignment horizontal="center"/>
    </xf>
    <xf numFmtId="0" fontId="10" fillId="9" borderId="2" applyAlignment="1" pivotButton="0" quotePrefix="0" xfId="0">
      <alignment horizontal="center"/>
    </xf>
    <xf numFmtId="0" fontId="10" fillId="10" borderId="2" applyAlignment="1" pivotButton="0" quotePrefix="0" xfId="0">
      <alignment horizontal="center"/>
    </xf>
    <xf numFmtId="0" fontId="10" fillId="11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0" fontId="11" fillId="8" borderId="2" applyAlignment="1" pivotButton="0" quotePrefix="0" xfId="0">
      <alignment horizontal="center"/>
    </xf>
    <xf numFmtId="0" fontId="11" fillId="9" borderId="2" applyAlignment="1" pivotButton="0" quotePrefix="0" xfId="0">
      <alignment horizontal="center"/>
    </xf>
    <xf numFmtId="0" fontId="11" fillId="10" borderId="2" applyAlignment="1" pivotButton="0" quotePrefix="0" xfId="0">
      <alignment horizontal="center"/>
    </xf>
    <xf numFmtId="0" fontId="11" fillId="11" borderId="2" applyAlignment="1" pivotButton="0" quotePrefix="0" xfId="0">
      <alignment horizontal="center"/>
    </xf>
    <xf numFmtId="0" fontId="9" fillId="12" borderId="2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3" fillId="5" borderId="2" pivotButton="0" quotePrefix="0" xfId="0"/>
    <xf numFmtId="0" fontId="0" fillId="0" borderId="2" pivotButton="0" quotePrefix="0" xfId="0"/>
    <xf numFmtId="0" fontId="1" fillId="2" borderId="0" applyAlignment="1" pivotButton="0" quotePrefix="0" xfId="0">
      <alignment horizontal="left" vertical="center" inden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7" fillId="0" borderId="6" pivotButton="0" quotePrefix="0" xfId="0"/>
    <xf numFmtId="0" fontId="7" fillId="7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6" borderId="10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3" fillId="5" borderId="15" applyAlignment="1" pivotButton="0" quotePrefix="0" xfId="0">
      <alignment horizontal="center" vertical="center"/>
    </xf>
    <xf numFmtId="0" fontId="0" fillId="0" borderId="18" pivotButton="0" quotePrefix="0" xfId="0"/>
    <xf numFmtId="0" fontId="4" fillId="4" borderId="14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5" fillId="6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7" fillId="7" borderId="24" applyAlignment="1" pivotButton="0" quotePrefix="0" xfId="0">
      <alignment horizontal="center"/>
    </xf>
    <xf numFmtId="0" fontId="7" fillId="0" borderId="25" pivotButton="0" quotePrefix="0" xfId="0"/>
    <xf numFmtId="0" fontId="7" fillId="7" borderId="26" applyAlignment="1" pivotButton="0" quotePrefix="0" xfId="0">
      <alignment horizontal="center"/>
    </xf>
    <xf numFmtId="0" fontId="7" fillId="0" borderId="27" pivotButton="0" quotePrefix="0" xfId="0"/>
    <xf numFmtId="0" fontId="7" fillId="7" borderId="28" applyAlignment="1" pivotButton="0" quotePrefix="0" xfId="0">
      <alignment horizontal="center"/>
    </xf>
    <xf numFmtId="0" fontId="7" fillId="0" borderId="29" pivotButton="0" quotePrefix="0" xfId="0"/>
    <xf numFmtId="0" fontId="7" fillId="7" borderId="29" applyAlignment="1" pivotButton="0" quotePrefix="0" xfId="0">
      <alignment horizontal="center"/>
    </xf>
    <xf numFmtId="0" fontId="7" fillId="0" borderId="30" pivotButton="0" quotePrefix="0" xfId="0"/>
    <xf numFmtId="0" fontId="4" fillId="4" borderId="13" applyAlignment="1" pivotButton="0" quotePrefix="0" xfId="0">
      <alignment horizontal="center" vertical="center" wrapText="1"/>
    </xf>
    <xf numFmtId="0" fontId="0" fillId="0" borderId="19" pivotButton="0" quotePrefix="0" xfId="0"/>
    <xf numFmtId="0" fontId="8" fillId="0" borderId="25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29" applyAlignment="1" pivotButton="0" quotePrefix="0" xfId="0">
      <alignment horizontal="center"/>
    </xf>
    <xf numFmtId="0" fontId="0" fillId="0" borderId="29" pivotButton="0" quotePrefix="0" xfId="0"/>
    <xf numFmtId="0" fontId="8" fillId="0" borderId="3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31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12" fillId="13" borderId="46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0" fillId="0" borderId="46" pivotButton="0" quotePrefix="0" xfId="0"/>
    <xf numFmtId="0" fontId="13" fillId="14" borderId="46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14" fillId="15" borderId="46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15" fillId="0" borderId="46" applyAlignment="1" pivotButton="0" quotePrefix="0" xfId="0">
      <alignment horizontal="center"/>
    </xf>
    <xf numFmtId="0" fontId="7" fillId="16" borderId="47" applyAlignment="1" pivotButton="0" quotePrefix="0" xfId="0">
      <alignment horizontal="center"/>
    </xf>
    <xf numFmtId="0" fontId="7" fillId="0" borderId="47" pivotButton="0" quotePrefix="0" xfId="0"/>
    <xf numFmtId="0" fontId="8" fillId="0" borderId="47" applyAlignment="1" pivotButton="0" quotePrefix="0" xfId="0">
      <alignment horizontal="center"/>
    </xf>
    <xf numFmtId="0" fontId="8" fillId="0" borderId="46" applyAlignment="1" pivotButton="0" quotePrefix="0" xfId="0">
      <alignment horizontal="center"/>
    </xf>
  </cellXfs>
  <cellStyles count="1">
    <cellStyle name="Normal" xfId="0" builtinId="0"/>
  </cellStyles>
  <dxfs count="110"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00EFEFEF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D21" sqref="D21"/>
    </sheetView>
  </sheetViews>
  <sheetFormatPr baseColWidth="8" defaultRowHeight="15"/>
  <cols>
    <col width="31.42578125" customWidth="1" style="23" min="1" max="1"/>
    <col width="22" customWidth="1" style="23" min="2" max="6"/>
  </cols>
  <sheetData>
    <row r="1" ht="30" customHeight="1" s="23">
      <c r="A1" s="26" t="inlineStr">
        <is>
          <t>PREMIER FINISH &amp; CONSTRUCTION  ·  PROJECT MASTER TRACKER</t>
        </is>
      </c>
    </row>
    <row r="2" ht="18" customHeight="1" s="23">
      <c r="A2" s="22" t="inlineStr">
        <is>
          <t>[Building Name / Address]</t>
        </is>
      </c>
    </row>
    <row r="4">
      <c r="A4" s="24" t="inlineStr">
        <is>
          <t xml:space="preserve">  PROGRESS SUMMARY  (units, out of 36)</t>
        </is>
      </c>
      <c r="B4" s="74" t="n"/>
      <c r="C4" s="74" t="n"/>
      <c r="D4" s="74" t="n"/>
      <c r="E4" s="74" t="n"/>
      <c r="F4" s="75" t="n"/>
    </row>
    <row r="5">
      <c r="A5" s="5" t="inlineStr">
        <is>
          <t>Phase</t>
        </is>
      </c>
      <c r="B5" s="5" t="inlineStr">
        <is>
          <t>Not Started</t>
        </is>
      </c>
      <c r="C5" s="6" t="inlineStr">
        <is>
          <t>In Progress</t>
        </is>
      </c>
      <c r="D5" s="7" t="inlineStr">
        <is>
          <t>Complete</t>
        </is>
      </c>
      <c r="E5" s="8" t="inlineStr">
        <is>
          <t>Deficiency</t>
        </is>
      </c>
      <c r="F5" s="9" t="inlineStr">
        <is>
          <t>On Hold</t>
        </is>
      </c>
    </row>
    <row r="6" ht="15.75" customHeight="1" s="23">
      <c r="A6" s="10" t="inlineStr">
        <is>
          <t>Phase 1 — Doors &amp; Windows</t>
        </is>
      </c>
      <c r="B6" s="11">
        <f>COUNTIF('Unit Tracker'!AM7:AM42,"Not Started")</f>
        <v/>
      </c>
      <c r="C6" s="12">
        <f>COUNTIF('Unit Tracker'!AM7:AM42,"In Progress")</f>
        <v/>
      </c>
      <c r="D6" s="13">
        <f>COUNTIF('Unit Tracker'!AM7:AM42,"Complete")</f>
        <v/>
      </c>
      <c r="E6" s="14">
        <f>COUNTIF('Unit Tracker'!AM7:AM42,"Deficiency")</f>
        <v/>
      </c>
      <c r="F6" s="15">
        <f>COUNTIF('Unit Tracker'!AM7:AM42,"On Hold")</f>
        <v/>
      </c>
    </row>
    <row r="7" ht="15.75" customHeight="1" s="23">
      <c r="A7" s="10" t="inlineStr">
        <is>
          <t>Phase 2 — Baseboards</t>
        </is>
      </c>
      <c r="B7" s="11">
        <f>COUNTIF('Unit Tracker'!AN7:AN42,"Not Started")</f>
        <v/>
      </c>
      <c r="C7" s="12">
        <f>COUNTIF('Unit Tracker'!AN7:AN42,"In Progress")</f>
        <v/>
      </c>
      <c r="D7" s="13">
        <f>COUNTIF('Unit Tracker'!AN7:AN42,"Complete")</f>
        <v/>
      </c>
      <c r="E7" s="14">
        <f>COUNTIF('Unit Tracker'!AN7:AN42,"Deficiency")</f>
        <v/>
      </c>
      <c r="F7" s="15">
        <f>COUNTIF('Unit Tracker'!AN7:AN42,"On Hold")</f>
        <v/>
      </c>
    </row>
    <row r="8" ht="15.75" customHeight="1" s="23">
      <c r="A8" s="10" t="inlineStr">
        <is>
          <t>Phase 3 — Hardware</t>
        </is>
      </c>
      <c r="B8" s="11">
        <f>COUNTIF('Unit Tracker'!AO7:AO42,"Not Started")</f>
        <v/>
      </c>
      <c r="C8" s="12">
        <f>COUNTIF('Unit Tracker'!AO7:AO42,"In Progress")</f>
        <v/>
      </c>
      <c r="D8" s="13">
        <f>COUNTIF('Unit Tracker'!AO7:AO42,"Complete")</f>
        <v/>
      </c>
      <c r="E8" s="14">
        <f>COUNTIF('Unit Tracker'!AO7:AO42,"Deficiency")</f>
        <v/>
      </c>
      <c r="F8" s="15">
        <f>COUNTIF('Unit Tracker'!AO7:AO42,"On Hold")</f>
        <v/>
      </c>
    </row>
    <row r="9" ht="15.75" customHeight="1" s="23">
      <c r="A9" s="10" t="inlineStr">
        <is>
          <t>Other</t>
        </is>
      </c>
      <c r="B9" s="11">
        <f>COUNTIF('Unit Tracker'!AP7:AP42,"Not Started")</f>
        <v/>
      </c>
      <c r="C9" s="12">
        <f>COUNTIF('Unit Tracker'!AP7:AP42,"In Progress")</f>
        <v/>
      </c>
      <c r="D9" s="13">
        <f>COUNTIF('Unit Tracker'!AP7:AP42,"Complete")</f>
        <v/>
      </c>
      <c r="E9" s="14">
        <f>COUNTIF('Unit Tracker'!AP7:AP42,"Deficiency")</f>
        <v/>
      </c>
      <c r="F9" s="15">
        <f>COUNTIF('Unit Tracker'!AP7:AP42,"On Hold")</f>
        <v/>
      </c>
    </row>
    <row r="11">
      <c r="A11" s="24" t="inlineStr">
        <is>
          <t xml:space="preserve">  UNIT OVERALL STATUS  (whole-unit rollup)</t>
        </is>
      </c>
      <c r="B11" s="74" t="n"/>
      <c r="C11" s="74" t="n"/>
      <c r="D11" s="74" t="n"/>
      <c r="E11" s="74" t="n"/>
      <c r="F11" s="75" t="n"/>
    </row>
    <row r="12">
      <c r="A12" s="5" t="inlineStr">
        <is>
          <t>Status</t>
        </is>
      </c>
      <c r="B12" s="5" t="inlineStr">
        <is>
          <t>Not Started</t>
        </is>
      </c>
      <c r="C12" s="6" t="inlineStr">
        <is>
          <t>In Progress</t>
        </is>
      </c>
      <c r="D12" s="7" t="inlineStr">
        <is>
          <t>Complete</t>
        </is>
      </c>
      <c r="E12" s="8" t="inlineStr">
        <is>
          <t>Deficiency</t>
        </is>
      </c>
      <c r="F12" s="9" t="inlineStr">
        <is>
          <t>On Hold</t>
        </is>
      </c>
    </row>
    <row r="13" ht="18.75" customHeight="1" s="23">
      <c r="A13" s="21" t="inlineStr">
        <is>
          <t>Count</t>
        </is>
      </c>
      <c r="B13" s="16">
        <f>COUNTIF('Unit Tracker'!AR7:AR42,"Not Started")</f>
        <v/>
      </c>
      <c r="C13" s="17">
        <f>COUNTIF('Unit Tracker'!AR7:AR42,"In Progress")</f>
        <v/>
      </c>
      <c r="D13" s="18">
        <f>COUNTIF('Unit Tracker'!AR7:AR42,"Complete")</f>
        <v/>
      </c>
      <c r="E13" s="19">
        <f>COUNTIF('Unit Tracker'!AR7:AR42,"Deficiency")</f>
        <v/>
      </c>
      <c r="F13" s="20">
        <f>COUNTIF('Unit Tracker'!AR7:AR42,"On Hold")</f>
        <v/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2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C7" sqref="C7"/>
    </sheetView>
  </sheetViews>
  <sheetFormatPr baseColWidth="8" defaultRowHeight="15"/>
  <cols>
    <col width="9" customWidth="1" style="23" min="1" max="1"/>
    <col width="8.140000000000001" customWidth="1" style="23" min="2" max="2"/>
    <col width="12" customWidth="1" style="23" min="3" max="3"/>
    <col width="20" customWidth="1" style="23" min="4" max="4"/>
    <col width="12" customWidth="1" style="23" min="5" max="5"/>
    <col width="20" customWidth="1" style="23" min="6" max="6"/>
    <col width="12" customWidth="1" style="23" min="7" max="7"/>
    <col width="20" customWidth="1" style="23" min="8" max="8"/>
    <col width="12" customWidth="1" style="23" min="9" max="9"/>
    <col width="20" customWidth="1" style="23" min="10" max="10"/>
    <col width="12" customWidth="1" style="23" min="11" max="11"/>
    <col width="20" customWidth="1" style="23" min="12" max="12"/>
    <col width="12" customWidth="1" style="23" min="13" max="13"/>
    <col width="20" customWidth="1" style="23" min="14" max="14"/>
    <col width="12" customWidth="1" style="23" min="15" max="15"/>
    <col width="20" customWidth="1" style="23" min="16" max="16"/>
    <col width="12" customWidth="1" style="23" min="17" max="17"/>
    <col width="20" customWidth="1" style="23" min="18" max="18"/>
    <col width="12" customWidth="1" style="23" min="19" max="19"/>
    <col width="20" customWidth="1" style="23" min="20" max="20"/>
    <col width="12" customWidth="1" style="23" min="21" max="21"/>
    <col width="20" customWidth="1" style="23" min="22" max="22"/>
    <col width="12" customWidth="1" style="23" min="23" max="23"/>
    <col width="20" customWidth="1" style="23" min="24" max="24"/>
    <col width="12" customWidth="1" style="23" min="25" max="25"/>
    <col width="20" customWidth="1" style="23" min="26" max="26"/>
    <col width="12" customWidth="1" style="23" min="27" max="27"/>
    <col width="20" customWidth="1" style="23" min="28" max="28"/>
    <col width="12" customWidth="1" style="23" min="29" max="29"/>
    <col width="20" customWidth="1" style="23" min="30" max="30"/>
    <col width="12" customWidth="1" style="23" min="31" max="31"/>
    <col width="20" customWidth="1" style="23" min="32" max="32"/>
    <col width="12" customWidth="1" style="23" min="33" max="33"/>
    <col width="20" customWidth="1" style="23" min="34" max="34"/>
    <col width="12" customWidth="1" style="23" min="35" max="35"/>
    <col width="20" customWidth="1" style="23" min="36" max="36"/>
    <col width="12" customWidth="1" style="23" min="37" max="37"/>
    <col width="20" customWidth="1" style="23" min="38" max="38"/>
    <col width="12" customWidth="1" style="23" min="39" max="39"/>
    <col width="12" customWidth="1" style="23" min="40" max="40"/>
    <col width="12" customWidth="1" style="23" min="41" max="44"/>
    <col width="12" customWidth="1" style="23" min="42" max="42"/>
    <col width="19" customWidth="1" style="23" min="43" max="43"/>
    <col width="22.29" customWidth="1" style="23" min="44" max="44"/>
    <col width="19" customWidth="1" style="23" min="45" max="45"/>
    <col width="22.28515625" customWidth="1" style="23" min="46" max="46"/>
  </cols>
  <sheetData>
    <row r="1" ht="30" customHeight="1" s="23">
      <c r="A1" s="68" t="n"/>
      <c r="C1" s="70" t="inlineStr">
        <is>
          <t>PREMIER FINISH &amp; CONSTRUCTION  ·  MASTER TRACKER TEMPLATE</t>
        </is>
      </c>
    </row>
    <row r="2" ht="18" customHeight="1" s="23">
      <c r="A2" s="69" t="n"/>
      <c r="C2" s="71" t="inlineStr">
        <is>
          <t>[Building Name / Address]  ·  [Total Units]</t>
        </is>
      </c>
    </row>
    <row r="3" ht="6" customHeight="1" s="23" thickBot="1"/>
    <row r="4" ht="20.1" customHeight="1" s="23" thickBot="1">
      <c r="A4" s="76" t="inlineStr">
        <is>
          <t>LOCATION</t>
        </is>
      </c>
      <c r="C4" s="76" t="inlineStr">
        <is>
          <t>PHASE 1 · DOORS &amp; WINDOWS</t>
        </is>
      </c>
      <c r="O4" s="76" t="inlineStr">
        <is>
          <t>PHASE 2 · BASEBOARDS</t>
        </is>
      </c>
      <c r="S4" s="76" t="inlineStr">
        <is>
          <t>PHASE 3 · HARDWARE &amp; ACCESSORIES</t>
        </is>
      </c>
      <c r="AK4" s="76" t="inlineStr">
        <is>
          <t xml:space="preserve">OTHER </t>
        </is>
      </c>
      <c r="AM4" s="76" t="inlineStr">
        <is>
          <t>PHASE ROLLUP</t>
        </is>
      </c>
      <c r="AQ4" s="76" t="inlineStr">
        <is>
          <t>PROGRESS</t>
        </is>
      </c>
      <c r="AS4" s="77" t="n"/>
      <c r="AT4" s="78" t="n"/>
      <c r="AU4" s="78" t="n"/>
      <c r="AV4" s="78" t="n"/>
      <c r="AW4" s="78" t="n"/>
      <c r="AX4" s="78" t="n"/>
    </row>
    <row r="5" ht="27.95" customHeight="1" s="23">
      <c r="C5" s="79" t="inlineStr">
        <is>
          <t>INTERIOR DOORS</t>
        </is>
      </c>
      <c r="E5" s="79" t="inlineStr">
        <is>
          <t>UNIT DOOR</t>
        </is>
      </c>
      <c r="G5" s="79" t="inlineStr">
        <is>
          <t>EXTERIOR DOOR(S)</t>
        </is>
      </c>
      <c r="I5" s="79" t="inlineStr">
        <is>
          <t>WINDOWS</t>
        </is>
      </c>
      <c r="K5" s="79" t="inlineStr">
        <is>
          <t>ATTIC HATCH</t>
        </is>
      </c>
      <c r="M5" s="79" t="inlineStr">
        <is>
          <t>HANDRAIL</t>
        </is>
      </c>
      <c r="O5" s="79" t="inlineStr">
        <is>
          <t>CUT</t>
        </is>
      </c>
      <c r="Q5" s="79" t="inlineStr">
        <is>
          <t>NAILED</t>
        </is>
      </c>
      <c r="S5" s="79" t="inlineStr">
        <is>
          <t>PASSAGE</t>
        </is>
      </c>
      <c r="U5" s="79" t="inlineStr">
        <is>
          <t>PRIVACY</t>
        </is>
      </c>
      <c r="W5" s="79" t="inlineStr">
        <is>
          <t>DUMMY</t>
        </is>
      </c>
      <c r="Y5" s="79" t="inlineStr">
        <is>
          <t>DEADBOLT</t>
        </is>
      </c>
      <c r="AA5" s="79" t="inlineStr">
        <is>
          <t>BALL CATCH</t>
        </is>
      </c>
      <c r="AC5" s="79" t="inlineStr">
        <is>
          <t>SPRING STOP</t>
        </is>
      </c>
      <c r="AE5" s="79" t="inlineStr">
        <is>
          <t>HINGE STOP</t>
        </is>
      </c>
      <c r="AG5" s="79" t="inlineStr">
        <is>
          <t>MIRROR</t>
        </is>
      </c>
      <c r="AI5" s="79" t="inlineStr">
        <is>
          <t>BATHROOM ACCESSORY</t>
        </is>
      </c>
      <c r="AK5" s="79" t="inlineStr">
        <is>
          <t>OTHER (CUSTOM ITEM)</t>
        </is>
      </c>
      <c r="AM5" s="79" t="inlineStr">
        <is>
          <t>PHASE 1</t>
        </is>
      </c>
      <c r="AN5" s="79" t="inlineStr">
        <is>
          <t>PHASE 2</t>
        </is>
      </c>
      <c r="AO5" s="79" t="inlineStr">
        <is>
          <t>PHASE 3</t>
        </is>
      </c>
      <c r="AP5" s="79" t="inlineStr">
        <is>
          <t>OTHER</t>
        </is>
      </c>
      <c r="AQ5" s="79" t="inlineStr">
        <is>
          <t>DATE</t>
        </is>
      </c>
      <c r="AR5" s="79" t="inlineStr">
        <is>
          <t>COMPLETION</t>
        </is>
      </c>
      <c r="AS5" s="80" t="n"/>
      <c r="AT5" s="80" t="n"/>
      <c r="AU5" s="78" t="n"/>
      <c r="AV5" s="78" t="n"/>
      <c r="AW5" s="78" t="n"/>
      <c r="AX5" s="78" t="n"/>
    </row>
    <row r="6" ht="14.1" customHeight="1" s="23" thickBot="1">
      <c r="A6" s="81" t="inlineStr">
        <is>
          <t>Floor</t>
        </is>
      </c>
      <c r="B6" s="81" t="inlineStr">
        <is>
          <t>Unit #</t>
        </is>
      </c>
      <c r="C6" s="81" t="inlineStr">
        <is>
          <t>Status</t>
        </is>
      </c>
      <c r="D6" s="81" t="inlineStr">
        <is>
          <t>Details</t>
        </is>
      </c>
      <c r="E6" s="81" t="inlineStr">
        <is>
          <t>Status</t>
        </is>
      </c>
      <c r="F6" s="81" t="inlineStr">
        <is>
          <t>Details</t>
        </is>
      </c>
      <c r="G6" s="81" t="inlineStr">
        <is>
          <t>Status</t>
        </is>
      </c>
      <c r="H6" s="81" t="inlineStr">
        <is>
          <t>Details</t>
        </is>
      </c>
      <c r="I6" s="81" t="inlineStr">
        <is>
          <t>Status</t>
        </is>
      </c>
      <c r="J6" s="81" t="inlineStr">
        <is>
          <t>Details</t>
        </is>
      </c>
      <c r="K6" s="81" t="inlineStr">
        <is>
          <t>Status</t>
        </is>
      </c>
      <c r="L6" s="81" t="inlineStr">
        <is>
          <t>Details</t>
        </is>
      </c>
      <c r="M6" s="81" t="inlineStr">
        <is>
          <t>Status</t>
        </is>
      </c>
      <c r="N6" s="81" t="inlineStr">
        <is>
          <t>Details</t>
        </is>
      </c>
      <c r="O6" s="81" t="inlineStr">
        <is>
          <t>Status</t>
        </is>
      </c>
      <c r="P6" s="81" t="inlineStr">
        <is>
          <t>Details</t>
        </is>
      </c>
      <c r="Q6" s="81" t="inlineStr">
        <is>
          <t>Status</t>
        </is>
      </c>
      <c r="R6" s="81" t="inlineStr">
        <is>
          <t>Details</t>
        </is>
      </c>
      <c r="S6" s="81" t="inlineStr">
        <is>
          <t>Status</t>
        </is>
      </c>
      <c r="T6" s="81" t="inlineStr">
        <is>
          <t>Details</t>
        </is>
      </c>
      <c r="U6" s="81" t="inlineStr">
        <is>
          <t>Status</t>
        </is>
      </c>
      <c r="V6" s="81" t="inlineStr">
        <is>
          <t>Details</t>
        </is>
      </c>
      <c r="W6" s="81" t="inlineStr">
        <is>
          <t>Status</t>
        </is>
      </c>
      <c r="X6" s="81" t="inlineStr">
        <is>
          <t>Details</t>
        </is>
      </c>
      <c r="Y6" s="81" t="inlineStr">
        <is>
          <t>Status</t>
        </is>
      </c>
      <c r="Z6" s="81" t="inlineStr">
        <is>
          <t>Details</t>
        </is>
      </c>
      <c r="AA6" s="81" t="inlineStr">
        <is>
          <t>Status</t>
        </is>
      </c>
      <c r="AB6" s="81" t="inlineStr">
        <is>
          <t>Details</t>
        </is>
      </c>
      <c r="AC6" s="81" t="inlineStr">
        <is>
          <t>Status</t>
        </is>
      </c>
      <c r="AD6" s="81" t="inlineStr">
        <is>
          <t>Details</t>
        </is>
      </c>
      <c r="AE6" s="81" t="inlineStr">
        <is>
          <t>Status</t>
        </is>
      </c>
      <c r="AF6" s="81" t="inlineStr">
        <is>
          <t>Details</t>
        </is>
      </c>
      <c r="AG6" s="81" t="inlineStr">
        <is>
          <t>Status</t>
        </is>
      </c>
      <c r="AH6" s="81" t="inlineStr">
        <is>
          <t>Details</t>
        </is>
      </c>
      <c r="AI6" s="81" t="inlineStr">
        <is>
          <t>Status</t>
        </is>
      </c>
      <c r="AJ6" s="81" t="inlineStr">
        <is>
          <t>Details</t>
        </is>
      </c>
      <c r="AK6" s="81" t="inlineStr">
        <is>
          <t>Status</t>
        </is>
      </c>
      <c r="AL6" s="81" t="inlineStr">
        <is>
          <t>Details</t>
        </is>
      </c>
      <c r="AM6" s="81" t="inlineStr">
        <is>
          <t>Status</t>
        </is>
      </c>
      <c r="AN6" s="81" t="inlineStr">
        <is>
          <t>Status</t>
        </is>
      </c>
      <c r="AO6" s="81" t="inlineStr">
        <is>
          <t>Status</t>
        </is>
      </c>
      <c r="AP6" s="81" t="inlineStr">
        <is>
          <t>Status</t>
        </is>
      </c>
      <c r="AQ6" s="81" t="inlineStr">
        <is>
          <t>LAST UPDATED</t>
        </is>
      </c>
      <c r="AR6" s="81" t="inlineStr">
        <is>
          <t>OVERALL STATUS</t>
        </is>
      </c>
      <c r="AS6" s="82" t="n"/>
      <c r="AT6" s="82" t="n"/>
      <c r="AU6" s="78" t="n"/>
      <c r="AV6" s="78" t="n"/>
      <c r="AW6" s="78" t="n"/>
      <c r="AX6" s="78" t="n"/>
    </row>
    <row r="7">
      <c r="A7" s="83" t="n">
        <v>1</v>
      </c>
      <c r="B7" s="83" t="n">
        <v>101</v>
      </c>
      <c r="C7" s="84" t="inlineStr">
        <is>
          <t>Not Started</t>
        </is>
      </c>
      <c r="D7" s="85" t="inlineStr"/>
      <c r="E7" s="84" t="inlineStr">
        <is>
          <t>Not Started</t>
        </is>
      </c>
      <c r="F7" s="85" t="inlineStr"/>
      <c r="G7" s="84" t="inlineStr">
        <is>
          <t>Not Started</t>
        </is>
      </c>
      <c r="H7" s="85" t="inlineStr"/>
      <c r="I7" s="84" t="inlineStr">
        <is>
          <t>Not Started</t>
        </is>
      </c>
      <c r="J7" s="85" t="inlineStr"/>
      <c r="K7" s="84" t="inlineStr">
        <is>
          <t>Not Started</t>
        </is>
      </c>
      <c r="L7" s="85" t="inlineStr"/>
      <c r="M7" s="84" t="inlineStr">
        <is>
          <t>Not Started</t>
        </is>
      </c>
      <c r="N7" s="85" t="inlineStr"/>
      <c r="O7" s="84" t="inlineStr">
        <is>
          <t>Not Started</t>
        </is>
      </c>
      <c r="P7" s="85" t="inlineStr"/>
      <c r="Q7" s="84" t="inlineStr">
        <is>
          <t>Not Started</t>
        </is>
      </c>
      <c r="R7" s="85" t="inlineStr"/>
      <c r="S7" s="84" t="inlineStr">
        <is>
          <t>Not Started</t>
        </is>
      </c>
      <c r="T7" s="85" t="inlineStr"/>
      <c r="U7" s="84" t="inlineStr">
        <is>
          <t>Not Started</t>
        </is>
      </c>
      <c r="V7" s="85" t="inlineStr"/>
      <c r="W7" s="84" t="inlineStr">
        <is>
          <t>Not Started</t>
        </is>
      </c>
      <c r="X7" s="85" t="inlineStr"/>
      <c r="Y7" s="84" t="inlineStr">
        <is>
          <t>Not Started</t>
        </is>
      </c>
      <c r="Z7" s="85" t="inlineStr"/>
      <c r="AA7" s="84" t="inlineStr">
        <is>
          <t>Not Started</t>
        </is>
      </c>
      <c r="AB7" s="85" t="inlineStr"/>
      <c r="AC7" s="84" t="inlineStr">
        <is>
          <t>Not Started</t>
        </is>
      </c>
      <c r="AD7" s="85" t="inlineStr"/>
      <c r="AE7" s="84" t="inlineStr">
        <is>
          <t>Not Started</t>
        </is>
      </c>
      <c r="AF7" s="85" t="inlineStr"/>
      <c r="AG7" s="84" t="inlineStr">
        <is>
          <t>Not Started</t>
        </is>
      </c>
      <c r="AH7" s="85" t="inlineStr"/>
      <c r="AI7" s="84" t="inlineStr">
        <is>
          <t>Not Started</t>
        </is>
      </c>
      <c r="AJ7" s="85" t="inlineStr"/>
      <c r="AK7" s="84" t="inlineStr">
        <is>
          <t>Not Started</t>
        </is>
      </c>
      <c r="AL7" s="85" t="inlineStr"/>
      <c r="AM7" s="86">
        <f>IF((COUNTIF(C7,"Deficiency")+COUNTIF(E7,"Deficiency")+COUNTIF(G7,"Deficiency")+COUNTIF(I7,"Deficiency")+COUNTIF(K7,"Deficiency")+COUNTIF(M7,"Deficiency"))&gt;0,"Deficiency",IF((COUNTIF(C7,"On Hold")+COUNTIF(E7,"On Hold")+COUNTIF(G7,"On Hold")+COUNTIF(I7,"On Hold")+COUNTIF(K7,"On Hold")+COUNTIF(M7,"On Hold"))&gt;0,"On Hold",IF((COUNTIF(C7,"In Progress")+COUNTIF(E7,"In Progress")+COUNTIF(G7,"In Progress")+COUNTIF(I7,"In Progress")+COUNTIF(K7,"In Progress")+COUNTIF(M7,"In Progress"))&gt;0,"In Progress",IF((COUNTIF(C7,"Not Started")+COUNTIF(E7,"Not Started")+COUNTIF(G7,"Not Started")+COUNTIF(I7,"Not Started")+COUNTIF(K7,"Not Started")+COUNTIF(M7,"Not Started"))=6,"Not Started","Complete"))))</f>
        <v/>
      </c>
      <c r="AN7" s="86">
        <f>IF((COUNTIF(O7,"Deficiency")+COUNTIF(Q7,"Deficiency"))&gt;0,"Deficiency",IF((COUNTIF(O7,"On Hold")+COUNTIF(Q7,"On Hold"))&gt;0,"On Hold",IF((COUNTIF(O7,"In Progress")+COUNTIF(Q7,"In Progress"))&gt;0,"In Progress",IF((COUNTIF(O7,"Not Started")+COUNTIF(Q7,"Not Started"))=2,"Not Started","Complete"))))</f>
        <v/>
      </c>
      <c r="AO7" s="86">
        <f>IF((COUNTIF(S7,"Deficiency")+COUNTIF(U7,"Deficiency")+COUNTIF(W7,"Deficiency")+COUNTIF(Y7,"Deficiency")+COUNTIF(AA7,"Deficiency")+COUNTIF(AC7,"Deficiency")+COUNTIF(AE7,"Deficiency")+COUNTIF(AG7,"Deficiency")+COUNTIF(AI7,"Deficiency"))&gt;0,"Deficiency",IF((COUNTIF(S7,"On Hold")+COUNTIF(U7,"On Hold")+COUNTIF(W7,"On Hold")+COUNTIF(Y7,"On Hold")+COUNTIF(AA7,"On Hold")+COUNTIF(AC7,"On Hold")+COUNTIF(AE7,"On Hold")+COUNTIF(AG7,"On Hold")+COUNTIF(AI7,"On Hold"))&gt;0,"On Hold",IF((COUNTIF(S7,"In Progress")+COUNTIF(U7,"In Progress")+COUNTIF(W7,"In Progress")+COUNTIF(Y7,"In Progress")+COUNTIF(AA7,"In Progress")+COUNTIF(AC7,"In Progress")+COUNTIF(AE7,"In Progress")+COUNTIF(AG7,"In Progress")+COUNTIF(AI7,"In Progress"))&gt;0,"In Progress",IF((COUNTIF(S7,"Not Started")+COUNTIF(U7,"Not Started")+COUNTIF(W7,"Not Started")+COUNTIF(Y7,"Not Started")+COUNTIF(AA7,"Not Started")+COUNTIF(AC7,"Not Started")+COUNTIF(AE7,"Not Started")+COUNTIF(AG7,"Not Started")+COUNTIF(AI7,"Not Started"))=9,"Not Started","Complete"))))</f>
        <v/>
      </c>
      <c r="AP7" s="86">
        <f>AK7</f>
        <v/>
      </c>
      <c r="AQ7" s="86" t="inlineStr"/>
      <c r="AR7" s="86">
        <f>IF((COUNTIF(AM7,"Deficiency")+COUNTIF(AN7,"Deficiency")+COUNTIF(AO7,"Deficiency")+COUNTIF(AP7,"Deficiency"))&gt;0,"Deficiency",IF((COUNTIF(AM7,"On Hold")+COUNTIF(AN7,"On Hold")+COUNTIF(AO7,"On Hold")+COUNTIF(AP7,"On Hold"))&gt;0,"On Hold",IF((COUNTIF(AM7,"In Progress")+COUNTIF(AN7,"In Progress")+COUNTIF(AO7,"In Progress")+COUNTIF(AP7,"In Progress"))&gt;0,"In Progress",IF((COUNTIF(AM7,"Not Started")+COUNTIF(AN7,"Not Started")+COUNTIF(AO7,"Not Started")+COUNTIF(AP7,"Not Started"))=4,"Not Started","Complete"))))</f>
        <v/>
      </c>
      <c r="AS7" s="78" t="n"/>
      <c r="AT7" s="87" t="n"/>
      <c r="AU7" s="78" t="n"/>
      <c r="AV7" s="78" t="n"/>
      <c r="AW7" s="78" t="n"/>
      <c r="AX7" s="78" t="n"/>
    </row>
    <row r="8">
      <c r="A8" s="83" t="n">
        <v>1</v>
      </c>
      <c r="B8" s="83" t="n">
        <v>102</v>
      </c>
      <c r="C8" s="84" t="inlineStr">
        <is>
          <t>Not Started</t>
        </is>
      </c>
      <c r="D8" s="85" t="inlineStr"/>
      <c r="E8" s="84" t="inlineStr">
        <is>
          <t>Not Started</t>
        </is>
      </c>
      <c r="F8" s="85" t="inlineStr"/>
      <c r="G8" s="84" t="inlineStr">
        <is>
          <t>Not Started</t>
        </is>
      </c>
      <c r="H8" s="85" t="inlineStr"/>
      <c r="I8" s="84" t="inlineStr">
        <is>
          <t>Not Started</t>
        </is>
      </c>
      <c r="J8" s="85" t="inlineStr"/>
      <c r="K8" s="84" t="inlineStr">
        <is>
          <t>Not Started</t>
        </is>
      </c>
      <c r="L8" s="85" t="inlineStr"/>
      <c r="M8" s="84" t="inlineStr">
        <is>
          <t>Not Started</t>
        </is>
      </c>
      <c r="N8" s="85" t="inlineStr"/>
      <c r="O8" s="84" t="inlineStr">
        <is>
          <t>Not Started</t>
        </is>
      </c>
      <c r="P8" s="85" t="inlineStr"/>
      <c r="Q8" s="84" t="inlineStr">
        <is>
          <t>Not Started</t>
        </is>
      </c>
      <c r="R8" s="85" t="inlineStr"/>
      <c r="S8" s="84" t="inlineStr">
        <is>
          <t>Not Started</t>
        </is>
      </c>
      <c r="T8" s="85" t="inlineStr"/>
      <c r="U8" s="84" t="inlineStr">
        <is>
          <t>Not Started</t>
        </is>
      </c>
      <c r="V8" s="85" t="inlineStr"/>
      <c r="W8" s="84" t="inlineStr">
        <is>
          <t>Not Started</t>
        </is>
      </c>
      <c r="X8" s="85" t="inlineStr"/>
      <c r="Y8" s="84" t="inlineStr">
        <is>
          <t>Not Started</t>
        </is>
      </c>
      <c r="Z8" s="85" t="inlineStr"/>
      <c r="AA8" s="84" t="inlineStr">
        <is>
          <t>Not Started</t>
        </is>
      </c>
      <c r="AB8" s="85" t="inlineStr"/>
      <c r="AC8" s="84" t="inlineStr">
        <is>
          <t>Not Started</t>
        </is>
      </c>
      <c r="AD8" s="85" t="inlineStr"/>
      <c r="AE8" s="84" t="inlineStr">
        <is>
          <t>Not Started</t>
        </is>
      </c>
      <c r="AF8" s="85" t="inlineStr"/>
      <c r="AG8" s="84" t="inlineStr">
        <is>
          <t>Not Started</t>
        </is>
      </c>
      <c r="AH8" s="85" t="inlineStr"/>
      <c r="AI8" s="84" t="inlineStr">
        <is>
          <t>Not Started</t>
        </is>
      </c>
      <c r="AJ8" s="85" t="inlineStr"/>
      <c r="AK8" s="84" t="inlineStr">
        <is>
          <t>Not Started</t>
        </is>
      </c>
      <c r="AL8" s="85" t="inlineStr"/>
      <c r="AM8" s="86">
        <f>IF((COUNTIF(C8,"Deficiency")+COUNTIF(E8,"Deficiency")+COUNTIF(G8,"Deficiency")+COUNTIF(I8,"Deficiency")+COUNTIF(K8,"Deficiency")+COUNTIF(M8,"Deficiency"))&gt;0,"Deficiency",IF((COUNTIF(C8,"On Hold")+COUNTIF(E8,"On Hold")+COUNTIF(G8,"On Hold")+COUNTIF(I8,"On Hold")+COUNTIF(K8,"On Hold")+COUNTIF(M8,"On Hold"))&gt;0,"On Hold",IF((COUNTIF(C8,"In Progress")+COUNTIF(E8,"In Progress")+COUNTIF(G8,"In Progress")+COUNTIF(I8,"In Progress")+COUNTIF(K8,"In Progress")+COUNTIF(M8,"In Progress"))&gt;0,"In Progress",IF((COUNTIF(C8,"Not Started")+COUNTIF(E8,"Not Started")+COUNTIF(G8,"Not Started")+COUNTIF(I8,"Not Started")+COUNTIF(K8,"Not Started")+COUNTIF(M8,"Not Started"))=6,"Not Started","Complete"))))</f>
        <v/>
      </c>
      <c r="AN8" s="86">
        <f>IF((COUNTIF(O8,"Deficiency")+COUNTIF(Q8,"Deficiency"))&gt;0,"Deficiency",IF((COUNTIF(O8,"On Hold")+COUNTIF(Q8,"On Hold"))&gt;0,"On Hold",IF((COUNTIF(O8,"In Progress")+COUNTIF(Q8,"In Progress"))&gt;0,"In Progress",IF((COUNTIF(O8,"Not Started")+COUNTIF(Q8,"Not Started"))=2,"Not Started","Complete"))))</f>
        <v/>
      </c>
      <c r="AO8" s="86">
        <f>IF((COUNTIF(S8,"Deficiency")+COUNTIF(U8,"Deficiency")+COUNTIF(W8,"Deficiency")+COUNTIF(Y8,"Deficiency")+COUNTIF(AA8,"Deficiency")+COUNTIF(AC8,"Deficiency")+COUNTIF(AE8,"Deficiency")+COUNTIF(AG8,"Deficiency")+COUNTIF(AI8,"Deficiency"))&gt;0,"Deficiency",IF((COUNTIF(S8,"On Hold")+COUNTIF(U8,"On Hold")+COUNTIF(W8,"On Hold")+COUNTIF(Y8,"On Hold")+COUNTIF(AA8,"On Hold")+COUNTIF(AC8,"On Hold")+COUNTIF(AE8,"On Hold")+COUNTIF(AG8,"On Hold")+COUNTIF(AI8,"On Hold"))&gt;0,"On Hold",IF((COUNTIF(S8,"In Progress")+COUNTIF(U8,"In Progress")+COUNTIF(W8,"In Progress")+COUNTIF(Y8,"In Progress")+COUNTIF(AA8,"In Progress")+COUNTIF(AC8,"In Progress")+COUNTIF(AE8,"In Progress")+COUNTIF(AG8,"In Progress")+COUNTIF(AI8,"In Progress"))&gt;0,"In Progress",IF((COUNTIF(S8,"Not Started")+COUNTIF(U8,"Not Started")+COUNTIF(W8,"Not Started")+COUNTIF(Y8,"Not Started")+COUNTIF(AA8,"Not Started")+COUNTIF(AC8,"Not Started")+COUNTIF(AE8,"Not Started")+COUNTIF(AG8,"Not Started")+COUNTIF(AI8,"Not Started"))=9,"Not Started","Complete"))))</f>
        <v/>
      </c>
      <c r="AP8" s="86">
        <f>AK8</f>
        <v/>
      </c>
      <c r="AQ8" s="86" t="inlineStr"/>
      <c r="AR8" s="86">
        <f>IF((COUNTIF(AM8,"Deficiency")+COUNTIF(AN8,"Deficiency")+COUNTIF(AO8,"Deficiency")+COUNTIF(AP8,"Deficiency"))&gt;0,"Deficiency",IF((COUNTIF(AM8,"On Hold")+COUNTIF(AN8,"On Hold")+COUNTIF(AO8,"On Hold")+COUNTIF(AP8,"On Hold"))&gt;0,"On Hold",IF((COUNTIF(AM8,"In Progress")+COUNTIF(AN8,"In Progress")+COUNTIF(AO8,"In Progress")+COUNTIF(AP8,"In Progress"))&gt;0,"In Progress",IF((COUNTIF(AM8,"Not Started")+COUNTIF(AN8,"Not Started")+COUNTIF(AO8,"Not Started")+COUNTIF(AP8,"Not Started"))=4,"Not Started","Complete"))))</f>
        <v/>
      </c>
      <c r="AS8" s="78" t="n"/>
      <c r="AT8" s="87" t="n"/>
      <c r="AU8" s="78" t="n"/>
      <c r="AV8" s="78" t="n"/>
      <c r="AW8" s="78" t="n"/>
      <c r="AX8" s="78" t="n"/>
    </row>
    <row r="9">
      <c r="A9" s="83" t="n">
        <v>1</v>
      </c>
      <c r="B9" s="83" t="n">
        <v>103</v>
      </c>
      <c r="C9" s="84" t="inlineStr">
        <is>
          <t>Not Started</t>
        </is>
      </c>
      <c r="D9" s="85" t="inlineStr"/>
      <c r="E9" s="84" t="inlineStr">
        <is>
          <t>Not Started</t>
        </is>
      </c>
      <c r="F9" s="85" t="inlineStr"/>
      <c r="G9" s="84" t="inlineStr">
        <is>
          <t>Not Started</t>
        </is>
      </c>
      <c r="H9" s="85" t="inlineStr"/>
      <c r="I9" s="84" t="inlineStr">
        <is>
          <t>Not Started</t>
        </is>
      </c>
      <c r="J9" s="85" t="inlineStr"/>
      <c r="K9" s="84" t="inlineStr">
        <is>
          <t>Not Started</t>
        </is>
      </c>
      <c r="L9" s="85" t="inlineStr"/>
      <c r="M9" s="84" t="inlineStr">
        <is>
          <t>Not Started</t>
        </is>
      </c>
      <c r="N9" s="85" t="inlineStr"/>
      <c r="O9" s="84" t="inlineStr">
        <is>
          <t>Not Started</t>
        </is>
      </c>
      <c r="P9" s="85" t="inlineStr"/>
      <c r="Q9" s="84" t="inlineStr">
        <is>
          <t>Not Started</t>
        </is>
      </c>
      <c r="R9" s="85" t="inlineStr"/>
      <c r="S9" s="84" t="inlineStr">
        <is>
          <t>Not Started</t>
        </is>
      </c>
      <c r="T9" s="85" t="inlineStr"/>
      <c r="U9" s="84" t="inlineStr">
        <is>
          <t>Not Started</t>
        </is>
      </c>
      <c r="V9" s="85" t="inlineStr"/>
      <c r="W9" s="84" t="inlineStr">
        <is>
          <t>Not Started</t>
        </is>
      </c>
      <c r="X9" s="85" t="inlineStr"/>
      <c r="Y9" s="84" t="inlineStr">
        <is>
          <t>Not Started</t>
        </is>
      </c>
      <c r="Z9" s="85" t="inlineStr"/>
      <c r="AA9" s="84" t="inlineStr">
        <is>
          <t>Not Started</t>
        </is>
      </c>
      <c r="AB9" s="85" t="inlineStr"/>
      <c r="AC9" s="84" t="inlineStr">
        <is>
          <t>Not Started</t>
        </is>
      </c>
      <c r="AD9" s="85" t="inlineStr"/>
      <c r="AE9" s="84" t="inlineStr">
        <is>
          <t>Not Started</t>
        </is>
      </c>
      <c r="AF9" s="85" t="inlineStr"/>
      <c r="AG9" s="84" t="inlineStr">
        <is>
          <t>Not Started</t>
        </is>
      </c>
      <c r="AH9" s="85" t="inlineStr"/>
      <c r="AI9" s="84" t="inlineStr">
        <is>
          <t>Not Started</t>
        </is>
      </c>
      <c r="AJ9" s="85" t="inlineStr"/>
      <c r="AK9" s="84" t="inlineStr">
        <is>
          <t>Not Started</t>
        </is>
      </c>
      <c r="AL9" s="85" t="inlineStr"/>
      <c r="AM9" s="86">
        <f>IF((COUNTIF(C9,"Deficiency")+COUNTIF(E9,"Deficiency")+COUNTIF(G9,"Deficiency")+COUNTIF(I9,"Deficiency")+COUNTIF(K9,"Deficiency")+COUNTIF(M9,"Deficiency"))&gt;0,"Deficiency",IF((COUNTIF(C9,"On Hold")+COUNTIF(E9,"On Hold")+COUNTIF(G9,"On Hold")+COUNTIF(I9,"On Hold")+COUNTIF(K9,"On Hold")+COUNTIF(M9,"On Hold"))&gt;0,"On Hold",IF((COUNTIF(C9,"In Progress")+COUNTIF(E9,"In Progress")+COUNTIF(G9,"In Progress")+COUNTIF(I9,"In Progress")+COUNTIF(K9,"In Progress")+COUNTIF(M9,"In Progress"))&gt;0,"In Progress",IF((COUNTIF(C9,"Not Started")+COUNTIF(E9,"Not Started")+COUNTIF(G9,"Not Started")+COUNTIF(I9,"Not Started")+COUNTIF(K9,"Not Started")+COUNTIF(M9,"Not Started"))=6,"Not Started","Complete"))))</f>
        <v/>
      </c>
      <c r="AN9" s="86">
        <f>IF((COUNTIF(O9,"Deficiency")+COUNTIF(Q9,"Deficiency"))&gt;0,"Deficiency",IF((COUNTIF(O9,"On Hold")+COUNTIF(Q9,"On Hold"))&gt;0,"On Hold",IF((COUNTIF(O9,"In Progress")+COUNTIF(Q9,"In Progress"))&gt;0,"In Progress",IF((COUNTIF(O9,"Not Started")+COUNTIF(Q9,"Not Started"))=2,"Not Started","Complete"))))</f>
        <v/>
      </c>
      <c r="AO9" s="86">
        <f>IF((COUNTIF(S9,"Deficiency")+COUNTIF(U9,"Deficiency")+COUNTIF(W9,"Deficiency")+COUNTIF(Y9,"Deficiency")+COUNTIF(AA9,"Deficiency")+COUNTIF(AC9,"Deficiency")+COUNTIF(AE9,"Deficiency")+COUNTIF(AG9,"Deficiency")+COUNTIF(AI9,"Deficiency"))&gt;0,"Deficiency",IF((COUNTIF(S9,"On Hold")+COUNTIF(U9,"On Hold")+COUNTIF(W9,"On Hold")+COUNTIF(Y9,"On Hold")+COUNTIF(AA9,"On Hold")+COUNTIF(AC9,"On Hold")+COUNTIF(AE9,"On Hold")+COUNTIF(AG9,"On Hold")+COUNTIF(AI9,"On Hold"))&gt;0,"On Hold",IF((COUNTIF(S9,"In Progress")+COUNTIF(U9,"In Progress")+COUNTIF(W9,"In Progress")+COUNTIF(Y9,"In Progress")+COUNTIF(AA9,"In Progress")+COUNTIF(AC9,"In Progress")+COUNTIF(AE9,"In Progress")+COUNTIF(AG9,"In Progress")+COUNTIF(AI9,"In Progress"))&gt;0,"In Progress",IF((COUNTIF(S9,"Not Started")+COUNTIF(U9,"Not Started")+COUNTIF(W9,"Not Started")+COUNTIF(Y9,"Not Started")+COUNTIF(AA9,"Not Started")+COUNTIF(AC9,"Not Started")+COUNTIF(AE9,"Not Started")+COUNTIF(AG9,"Not Started")+COUNTIF(AI9,"Not Started"))=9,"Not Started","Complete"))))</f>
        <v/>
      </c>
      <c r="AP9" s="86">
        <f>AK9</f>
        <v/>
      </c>
      <c r="AQ9" s="86" t="inlineStr"/>
      <c r="AR9" s="86">
        <f>IF((COUNTIF(AM9,"Deficiency")+COUNTIF(AN9,"Deficiency")+COUNTIF(AO9,"Deficiency")+COUNTIF(AP9,"Deficiency"))&gt;0,"Deficiency",IF((COUNTIF(AM9,"On Hold")+COUNTIF(AN9,"On Hold")+COUNTIF(AO9,"On Hold")+COUNTIF(AP9,"On Hold"))&gt;0,"On Hold",IF((COUNTIF(AM9,"In Progress")+COUNTIF(AN9,"In Progress")+COUNTIF(AO9,"In Progress")+COUNTIF(AP9,"In Progress"))&gt;0,"In Progress",IF((COUNTIF(AM9,"Not Started")+COUNTIF(AN9,"Not Started")+COUNTIF(AO9,"Not Started")+COUNTIF(AP9,"Not Started"))=4,"Not Started","Complete"))))</f>
        <v/>
      </c>
      <c r="AS9" s="78" t="n"/>
      <c r="AT9" s="87" t="n"/>
      <c r="AU9" s="78" t="n"/>
      <c r="AV9" s="78" t="n"/>
      <c r="AW9" s="78" t="n"/>
      <c r="AX9" s="78" t="n"/>
    </row>
    <row r="10">
      <c r="A10" s="83" t="n">
        <v>1</v>
      </c>
      <c r="B10" s="83" t="n">
        <v>104</v>
      </c>
      <c r="C10" s="84" t="inlineStr">
        <is>
          <t>Not Started</t>
        </is>
      </c>
      <c r="D10" s="85" t="inlineStr"/>
      <c r="E10" s="84" t="inlineStr">
        <is>
          <t>Not Started</t>
        </is>
      </c>
      <c r="F10" s="85" t="inlineStr"/>
      <c r="G10" s="84" t="inlineStr">
        <is>
          <t>Not Started</t>
        </is>
      </c>
      <c r="H10" s="85" t="inlineStr"/>
      <c r="I10" s="84" t="inlineStr">
        <is>
          <t>Not Started</t>
        </is>
      </c>
      <c r="J10" s="85" t="inlineStr"/>
      <c r="K10" s="84" t="inlineStr">
        <is>
          <t>Not Started</t>
        </is>
      </c>
      <c r="L10" s="85" t="inlineStr"/>
      <c r="M10" s="84" t="inlineStr">
        <is>
          <t>Not Started</t>
        </is>
      </c>
      <c r="N10" s="85" t="inlineStr"/>
      <c r="O10" s="84" t="inlineStr">
        <is>
          <t>Not Started</t>
        </is>
      </c>
      <c r="P10" s="85" t="inlineStr"/>
      <c r="Q10" s="84" t="inlineStr">
        <is>
          <t>Not Started</t>
        </is>
      </c>
      <c r="R10" s="85" t="inlineStr"/>
      <c r="S10" s="84" t="inlineStr">
        <is>
          <t>Not Started</t>
        </is>
      </c>
      <c r="T10" s="85" t="inlineStr"/>
      <c r="U10" s="84" t="inlineStr">
        <is>
          <t>Not Started</t>
        </is>
      </c>
      <c r="V10" s="85" t="inlineStr"/>
      <c r="W10" s="84" t="inlineStr">
        <is>
          <t>Not Started</t>
        </is>
      </c>
      <c r="X10" s="85" t="inlineStr"/>
      <c r="Y10" s="84" t="inlineStr">
        <is>
          <t>Not Started</t>
        </is>
      </c>
      <c r="Z10" s="85" t="inlineStr"/>
      <c r="AA10" s="84" t="inlineStr">
        <is>
          <t>Not Started</t>
        </is>
      </c>
      <c r="AB10" s="85" t="inlineStr"/>
      <c r="AC10" s="84" t="inlineStr">
        <is>
          <t>Not Started</t>
        </is>
      </c>
      <c r="AD10" s="85" t="inlineStr"/>
      <c r="AE10" s="84" t="inlineStr">
        <is>
          <t>Not Started</t>
        </is>
      </c>
      <c r="AF10" s="85" t="inlineStr"/>
      <c r="AG10" s="84" t="inlineStr">
        <is>
          <t>Not Started</t>
        </is>
      </c>
      <c r="AH10" s="85" t="inlineStr"/>
      <c r="AI10" s="84" t="inlineStr">
        <is>
          <t>Not Started</t>
        </is>
      </c>
      <c r="AJ10" s="85" t="inlineStr"/>
      <c r="AK10" s="84" t="inlineStr">
        <is>
          <t>Not Started</t>
        </is>
      </c>
      <c r="AL10" s="85" t="inlineStr"/>
      <c r="AM10" s="86">
        <f>IF((COUNTIF(C10,"Deficiency")+COUNTIF(E10,"Deficiency")+COUNTIF(G10,"Deficiency")+COUNTIF(I10,"Deficiency")+COUNTIF(K10,"Deficiency")+COUNTIF(M10,"Deficiency"))&gt;0,"Deficiency",IF((COUNTIF(C10,"On Hold")+COUNTIF(E10,"On Hold")+COUNTIF(G10,"On Hold")+COUNTIF(I10,"On Hold")+COUNTIF(K10,"On Hold")+COUNTIF(M10,"On Hold"))&gt;0,"On Hold",IF((COUNTIF(C10,"In Progress")+COUNTIF(E10,"In Progress")+COUNTIF(G10,"In Progress")+COUNTIF(I10,"In Progress")+COUNTIF(K10,"In Progress")+COUNTIF(M10,"In Progress"))&gt;0,"In Progress",IF((COUNTIF(C10,"Not Started")+COUNTIF(E10,"Not Started")+COUNTIF(G10,"Not Started")+COUNTIF(I10,"Not Started")+COUNTIF(K10,"Not Started")+COUNTIF(M10,"Not Started"))=6,"Not Started","Complete"))))</f>
        <v/>
      </c>
      <c r="AN10" s="86">
        <f>IF((COUNTIF(O10,"Deficiency")+COUNTIF(Q10,"Deficiency"))&gt;0,"Deficiency",IF((COUNTIF(O10,"On Hold")+COUNTIF(Q10,"On Hold"))&gt;0,"On Hold",IF((COUNTIF(O10,"In Progress")+COUNTIF(Q10,"In Progress"))&gt;0,"In Progress",IF((COUNTIF(O10,"Not Started")+COUNTIF(Q10,"Not Started"))=2,"Not Started","Complete"))))</f>
        <v/>
      </c>
      <c r="AO10" s="86">
        <f>IF((COUNTIF(S10,"Deficiency")+COUNTIF(U10,"Deficiency")+COUNTIF(W10,"Deficiency")+COUNTIF(Y10,"Deficiency")+COUNTIF(AA10,"Deficiency")+COUNTIF(AC10,"Deficiency")+COUNTIF(AE10,"Deficiency")+COUNTIF(AG10,"Deficiency")+COUNTIF(AI10,"Deficiency"))&gt;0,"Deficiency",IF((COUNTIF(S10,"On Hold")+COUNTIF(U10,"On Hold")+COUNTIF(W10,"On Hold")+COUNTIF(Y10,"On Hold")+COUNTIF(AA10,"On Hold")+COUNTIF(AC10,"On Hold")+COUNTIF(AE10,"On Hold")+COUNTIF(AG10,"On Hold")+COUNTIF(AI10,"On Hold"))&gt;0,"On Hold",IF((COUNTIF(S10,"In Progress")+COUNTIF(U10,"In Progress")+COUNTIF(W10,"In Progress")+COUNTIF(Y10,"In Progress")+COUNTIF(AA10,"In Progress")+COUNTIF(AC10,"In Progress")+COUNTIF(AE10,"In Progress")+COUNTIF(AG10,"In Progress")+COUNTIF(AI10,"In Progress"))&gt;0,"In Progress",IF((COUNTIF(S10,"Not Started")+COUNTIF(U10,"Not Started")+COUNTIF(W10,"Not Started")+COUNTIF(Y10,"Not Started")+COUNTIF(AA10,"Not Started")+COUNTIF(AC10,"Not Started")+COUNTIF(AE10,"Not Started")+COUNTIF(AG10,"Not Started")+COUNTIF(AI10,"Not Started"))=9,"Not Started","Complete"))))</f>
        <v/>
      </c>
      <c r="AP10" s="86">
        <f>AK10</f>
        <v/>
      </c>
      <c r="AQ10" s="86" t="inlineStr"/>
      <c r="AR10" s="86">
        <f>IF((COUNTIF(AM10,"Deficiency")+COUNTIF(AN10,"Deficiency")+COUNTIF(AO10,"Deficiency")+COUNTIF(AP10,"Deficiency"))&gt;0,"Deficiency",IF((COUNTIF(AM10,"On Hold")+COUNTIF(AN10,"On Hold")+COUNTIF(AO10,"On Hold")+COUNTIF(AP10,"On Hold"))&gt;0,"On Hold",IF((COUNTIF(AM10,"In Progress")+COUNTIF(AN10,"In Progress")+COUNTIF(AO10,"In Progress")+COUNTIF(AP10,"In Progress"))&gt;0,"In Progress",IF((COUNTIF(AM10,"Not Started")+COUNTIF(AN10,"Not Started")+COUNTIF(AO10,"Not Started")+COUNTIF(AP10,"Not Started"))=4,"Not Started","Complete"))))</f>
        <v/>
      </c>
      <c r="AS10" s="78" t="n"/>
      <c r="AT10" s="87" t="n"/>
      <c r="AU10" s="78" t="n"/>
      <c r="AV10" s="78" t="n"/>
      <c r="AW10" s="78" t="n"/>
      <c r="AX10" s="78" t="n"/>
    </row>
    <row r="11">
      <c r="A11" s="83" t="n">
        <v>1</v>
      </c>
      <c r="B11" s="83" t="n">
        <v>105</v>
      </c>
      <c r="C11" s="84" t="inlineStr">
        <is>
          <t>Not Started</t>
        </is>
      </c>
      <c r="D11" s="85" t="inlineStr"/>
      <c r="E11" s="84" t="inlineStr">
        <is>
          <t>Not Started</t>
        </is>
      </c>
      <c r="F11" s="85" t="inlineStr"/>
      <c r="G11" s="84" t="inlineStr">
        <is>
          <t>Not Started</t>
        </is>
      </c>
      <c r="H11" s="85" t="inlineStr"/>
      <c r="I11" s="84" t="inlineStr">
        <is>
          <t>Not Started</t>
        </is>
      </c>
      <c r="J11" s="85" t="inlineStr"/>
      <c r="K11" s="84" t="inlineStr">
        <is>
          <t>Not Started</t>
        </is>
      </c>
      <c r="L11" s="85" t="inlineStr"/>
      <c r="M11" s="84" t="inlineStr">
        <is>
          <t>Not Started</t>
        </is>
      </c>
      <c r="N11" s="85" t="inlineStr"/>
      <c r="O11" s="84" t="inlineStr">
        <is>
          <t>Not Started</t>
        </is>
      </c>
      <c r="P11" s="85" t="inlineStr"/>
      <c r="Q11" s="84" t="inlineStr">
        <is>
          <t>Not Started</t>
        </is>
      </c>
      <c r="R11" s="85" t="inlineStr"/>
      <c r="S11" s="84" t="inlineStr">
        <is>
          <t>Not Started</t>
        </is>
      </c>
      <c r="T11" s="85" t="inlineStr"/>
      <c r="U11" s="84" t="inlineStr">
        <is>
          <t>Not Started</t>
        </is>
      </c>
      <c r="V11" s="85" t="inlineStr"/>
      <c r="W11" s="84" t="inlineStr">
        <is>
          <t>Not Started</t>
        </is>
      </c>
      <c r="X11" s="85" t="inlineStr"/>
      <c r="Y11" s="84" t="inlineStr">
        <is>
          <t>Not Started</t>
        </is>
      </c>
      <c r="Z11" s="85" t="inlineStr"/>
      <c r="AA11" s="84" t="inlineStr">
        <is>
          <t>Not Started</t>
        </is>
      </c>
      <c r="AB11" s="85" t="inlineStr"/>
      <c r="AC11" s="84" t="inlineStr">
        <is>
          <t>Not Started</t>
        </is>
      </c>
      <c r="AD11" s="85" t="inlineStr"/>
      <c r="AE11" s="84" t="inlineStr">
        <is>
          <t>Not Started</t>
        </is>
      </c>
      <c r="AF11" s="85" t="inlineStr"/>
      <c r="AG11" s="84" t="inlineStr">
        <is>
          <t>Not Started</t>
        </is>
      </c>
      <c r="AH11" s="85" t="inlineStr"/>
      <c r="AI11" s="84" t="inlineStr">
        <is>
          <t>Not Started</t>
        </is>
      </c>
      <c r="AJ11" s="85" t="inlineStr"/>
      <c r="AK11" s="84" t="inlineStr">
        <is>
          <t>Not Started</t>
        </is>
      </c>
      <c r="AL11" s="85" t="inlineStr"/>
      <c r="AM11" s="86">
        <f>IF((COUNTIF(C11,"Deficiency")+COUNTIF(E11,"Deficiency")+COUNTIF(G11,"Deficiency")+COUNTIF(I11,"Deficiency")+COUNTIF(K11,"Deficiency")+COUNTIF(M11,"Deficiency"))&gt;0,"Deficiency",IF((COUNTIF(C11,"On Hold")+COUNTIF(E11,"On Hold")+COUNTIF(G11,"On Hold")+COUNTIF(I11,"On Hold")+COUNTIF(K11,"On Hold")+COUNTIF(M11,"On Hold"))&gt;0,"On Hold",IF((COUNTIF(C11,"In Progress")+COUNTIF(E11,"In Progress")+COUNTIF(G11,"In Progress")+COUNTIF(I11,"In Progress")+COUNTIF(K11,"In Progress")+COUNTIF(M11,"In Progress"))&gt;0,"In Progress",IF((COUNTIF(C11,"Not Started")+COUNTIF(E11,"Not Started")+COUNTIF(G11,"Not Started")+COUNTIF(I11,"Not Started")+COUNTIF(K11,"Not Started")+COUNTIF(M11,"Not Started"))=6,"Not Started","Complete"))))</f>
        <v/>
      </c>
      <c r="AN11" s="86">
        <f>IF((COUNTIF(O11,"Deficiency")+COUNTIF(Q11,"Deficiency"))&gt;0,"Deficiency",IF((COUNTIF(O11,"On Hold")+COUNTIF(Q11,"On Hold"))&gt;0,"On Hold",IF((COUNTIF(O11,"In Progress")+COUNTIF(Q11,"In Progress"))&gt;0,"In Progress",IF((COUNTIF(O11,"Not Started")+COUNTIF(Q11,"Not Started"))=2,"Not Started","Complete"))))</f>
        <v/>
      </c>
      <c r="AO11" s="86">
        <f>IF((COUNTIF(S11,"Deficiency")+COUNTIF(U11,"Deficiency")+COUNTIF(W11,"Deficiency")+COUNTIF(Y11,"Deficiency")+COUNTIF(AA11,"Deficiency")+COUNTIF(AC11,"Deficiency")+COUNTIF(AE11,"Deficiency")+COUNTIF(AG11,"Deficiency")+COUNTIF(AI11,"Deficiency"))&gt;0,"Deficiency",IF((COUNTIF(S11,"On Hold")+COUNTIF(U11,"On Hold")+COUNTIF(W11,"On Hold")+COUNTIF(Y11,"On Hold")+COUNTIF(AA11,"On Hold")+COUNTIF(AC11,"On Hold")+COUNTIF(AE11,"On Hold")+COUNTIF(AG11,"On Hold")+COUNTIF(AI11,"On Hold"))&gt;0,"On Hold",IF((COUNTIF(S11,"In Progress")+COUNTIF(U11,"In Progress")+COUNTIF(W11,"In Progress")+COUNTIF(Y11,"In Progress")+COUNTIF(AA11,"In Progress")+COUNTIF(AC11,"In Progress")+COUNTIF(AE11,"In Progress")+COUNTIF(AG11,"In Progress")+COUNTIF(AI11,"In Progress"))&gt;0,"In Progress",IF((COUNTIF(S11,"Not Started")+COUNTIF(U11,"Not Started")+COUNTIF(W11,"Not Started")+COUNTIF(Y11,"Not Started")+COUNTIF(AA11,"Not Started")+COUNTIF(AC11,"Not Started")+COUNTIF(AE11,"Not Started")+COUNTIF(AG11,"Not Started")+COUNTIF(AI11,"Not Started"))=9,"Not Started","Complete"))))</f>
        <v/>
      </c>
      <c r="AP11" s="86">
        <f>AK11</f>
        <v/>
      </c>
      <c r="AQ11" s="86" t="inlineStr"/>
      <c r="AR11" s="86">
        <f>IF((COUNTIF(AM11,"Deficiency")+COUNTIF(AN11,"Deficiency")+COUNTIF(AO11,"Deficiency")+COUNTIF(AP11,"Deficiency"))&gt;0,"Deficiency",IF((COUNTIF(AM11,"On Hold")+COUNTIF(AN11,"On Hold")+COUNTIF(AO11,"On Hold")+COUNTIF(AP11,"On Hold"))&gt;0,"On Hold",IF((COUNTIF(AM11,"In Progress")+COUNTIF(AN11,"In Progress")+COUNTIF(AO11,"In Progress")+COUNTIF(AP11,"In Progress"))&gt;0,"In Progress",IF((COUNTIF(AM11,"Not Started")+COUNTIF(AN11,"Not Started")+COUNTIF(AO11,"Not Started")+COUNTIF(AP11,"Not Started"))=4,"Not Started","Complete"))))</f>
        <v/>
      </c>
      <c r="AS11" s="78" t="n"/>
      <c r="AT11" s="87" t="n"/>
      <c r="AU11" s="78" t="n"/>
      <c r="AV11" s="78" t="n"/>
      <c r="AW11" s="78" t="n"/>
      <c r="AX11" s="78" t="n"/>
    </row>
    <row r="12">
      <c r="A12" s="83" t="n">
        <v>1</v>
      </c>
      <c r="B12" s="83" t="n">
        <v>106</v>
      </c>
      <c r="C12" s="84" t="inlineStr">
        <is>
          <t>Not Started</t>
        </is>
      </c>
      <c r="D12" s="85" t="inlineStr"/>
      <c r="E12" s="84" t="inlineStr">
        <is>
          <t>Not Started</t>
        </is>
      </c>
      <c r="F12" s="85" t="inlineStr"/>
      <c r="G12" s="84" t="inlineStr">
        <is>
          <t>Not Started</t>
        </is>
      </c>
      <c r="H12" s="85" t="inlineStr"/>
      <c r="I12" s="84" t="inlineStr">
        <is>
          <t>Not Started</t>
        </is>
      </c>
      <c r="J12" s="85" t="inlineStr"/>
      <c r="K12" s="84" t="inlineStr">
        <is>
          <t>Not Started</t>
        </is>
      </c>
      <c r="L12" s="85" t="inlineStr"/>
      <c r="M12" s="84" t="inlineStr">
        <is>
          <t>Not Started</t>
        </is>
      </c>
      <c r="N12" s="85" t="inlineStr"/>
      <c r="O12" s="84" t="inlineStr">
        <is>
          <t>Not Started</t>
        </is>
      </c>
      <c r="P12" s="85" t="inlineStr"/>
      <c r="Q12" s="84" t="inlineStr">
        <is>
          <t>Not Started</t>
        </is>
      </c>
      <c r="R12" s="85" t="inlineStr"/>
      <c r="S12" s="84" t="inlineStr">
        <is>
          <t>Not Started</t>
        </is>
      </c>
      <c r="T12" s="85" t="inlineStr"/>
      <c r="U12" s="84" t="inlineStr">
        <is>
          <t>Not Started</t>
        </is>
      </c>
      <c r="V12" s="85" t="inlineStr"/>
      <c r="W12" s="84" t="inlineStr">
        <is>
          <t>Not Started</t>
        </is>
      </c>
      <c r="X12" s="85" t="inlineStr"/>
      <c r="Y12" s="84" t="inlineStr">
        <is>
          <t>Not Started</t>
        </is>
      </c>
      <c r="Z12" s="85" t="inlineStr"/>
      <c r="AA12" s="84" t="inlineStr">
        <is>
          <t>Not Started</t>
        </is>
      </c>
      <c r="AB12" s="85" t="inlineStr"/>
      <c r="AC12" s="84" t="inlineStr">
        <is>
          <t>Not Started</t>
        </is>
      </c>
      <c r="AD12" s="85" t="inlineStr"/>
      <c r="AE12" s="84" t="inlineStr">
        <is>
          <t>Not Started</t>
        </is>
      </c>
      <c r="AF12" s="85" t="inlineStr"/>
      <c r="AG12" s="84" t="inlineStr">
        <is>
          <t>Not Started</t>
        </is>
      </c>
      <c r="AH12" s="85" t="inlineStr"/>
      <c r="AI12" s="84" t="inlineStr">
        <is>
          <t>Not Started</t>
        </is>
      </c>
      <c r="AJ12" s="85" t="inlineStr"/>
      <c r="AK12" s="84" t="inlineStr">
        <is>
          <t>Not Started</t>
        </is>
      </c>
      <c r="AL12" s="85" t="inlineStr"/>
      <c r="AM12" s="86">
        <f>IF((COUNTIF(C12,"Deficiency")+COUNTIF(E12,"Deficiency")+COUNTIF(G12,"Deficiency")+COUNTIF(I12,"Deficiency")+COUNTIF(K12,"Deficiency")+COUNTIF(M12,"Deficiency"))&gt;0,"Deficiency",IF((COUNTIF(C12,"On Hold")+COUNTIF(E12,"On Hold")+COUNTIF(G12,"On Hold")+COUNTIF(I12,"On Hold")+COUNTIF(K12,"On Hold")+COUNTIF(M12,"On Hold"))&gt;0,"On Hold",IF((COUNTIF(C12,"In Progress")+COUNTIF(E12,"In Progress")+COUNTIF(G12,"In Progress")+COUNTIF(I12,"In Progress")+COUNTIF(K12,"In Progress")+COUNTIF(M12,"In Progress"))&gt;0,"In Progress",IF((COUNTIF(C12,"Not Started")+COUNTIF(E12,"Not Started")+COUNTIF(G12,"Not Started")+COUNTIF(I12,"Not Started")+COUNTIF(K12,"Not Started")+COUNTIF(M12,"Not Started"))=6,"Not Started","Complete"))))</f>
        <v/>
      </c>
      <c r="AN12" s="86">
        <f>IF((COUNTIF(O12,"Deficiency")+COUNTIF(Q12,"Deficiency"))&gt;0,"Deficiency",IF((COUNTIF(O12,"On Hold")+COUNTIF(Q12,"On Hold"))&gt;0,"On Hold",IF((COUNTIF(O12,"In Progress")+COUNTIF(Q12,"In Progress"))&gt;0,"In Progress",IF((COUNTIF(O12,"Not Started")+COUNTIF(Q12,"Not Started"))=2,"Not Started","Complete"))))</f>
        <v/>
      </c>
      <c r="AO12" s="86">
        <f>IF((COUNTIF(S12,"Deficiency")+COUNTIF(U12,"Deficiency")+COUNTIF(W12,"Deficiency")+COUNTIF(Y12,"Deficiency")+COUNTIF(AA12,"Deficiency")+COUNTIF(AC12,"Deficiency")+COUNTIF(AE12,"Deficiency")+COUNTIF(AG12,"Deficiency")+COUNTIF(AI12,"Deficiency"))&gt;0,"Deficiency",IF((COUNTIF(S12,"On Hold")+COUNTIF(U12,"On Hold")+COUNTIF(W12,"On Hold")+COUNTIF(Y12,"On Hold")+COUNTIF(AA12,"On Hold")+COUNTIF(AC12,"On Hold")+COUNTIF(AE12,"On Hold")+COUNTIF(AG12,"On Hold")+COUNTIF(AI12,"On Hold"))&gt;0,"On Hold",IF((COUNTIF(S12,"In Progress")+COUNTIF(U12,"In Progress")+COUNTIF(W12,"In Progress")+COUNTIF(Y12,"In Progress")+COUNTIF(AA12,"In Progress")+COUNTIF(AC12,"In Progress")+COUNTIF(AE12,"In Progress")+COUNTIF(AG12,"In Progress")+COUNTIF(AI12,"In Progress"))&gt;0,"In Progress",IF((COUNTIF(S12,"Not Started")+COUNTIF(U12,"Not Started")+COUNTIF(W12,"Not Started")+COUNTIF(Y12,"Not Started")+COUNTIF(AA12,"Not Started")+COUNTIF(AC12,"Not Started")+COUNTIF(AE12,"Not Started")+COUNTIF(AG12,"Not Started")+COUNTIF(AI12,"Not Started"))=9,"Not Started","Complete"))))</f>
        <v/>
      </c>
      <c r="AP12" s="86">
        <f>AK12</f>
        <v/>
      </c>
      <c r="AQ12" s="86" t="inlineStr"/>
      <c r="AR12" s="86">
        <f>IF((COUNTIF(AM12,"Deficiency")+COUNTIF(AN12,"Deficiency")+COUNTIF(AO12,"Deficiency")+COUNTIF(AP12,"Deficiency"))&gt;0,"Deficiency",IF((COUNTIF(AM12,"On Hold")+COUNTIF(AN12,"On Hold")+COUNTIF(AO12,"On Hold")+COUNTIF(AP12,"On Hold"))&gt;0,"On Hold",IF((COUNTIF(AM12,"In Progress")+COUNTIF(AN12,"In Progress")+COUNTIF(AO12,"In Progress")+COUNTIF(AP12,"In Progress"))&gt;0,"In Progress",IF((COUNTIF(AM12,"Not Started")+COUNTIF(AN12,"Not Started")+COUNTIF(AO12,"Not Started")+COUNTIF(AP12,"Not Started"))=4,"Not Started","Complete"))))</f>
        <v/>
      </c>
      <c r="AS12" s="78" t="n"/>
      <c r="AT12" s="87" t="n"/>
      <c r="AU12" s="78" t="n"/>
      <c r="AV12" s="78" t="n"/>
      <c r="AW12" s="78" t="n"/>
      <c r="AX12" s="78" t="n"/>
    </row>
    <row r="13">
      <c r="A13" s="83" t="n">
        <v>1</v>
      </c>
      <c r="B13" s="83" t="n">
        <v>107</v>
      </c>
      <c r="C13" s="84" t="inlineStr">
        <is>
          <t>Not Started</t>
        </is>
      </c>
      <c r="D13" s="85" t="inlineStr"/>
      <c r="E13" s="84" t="inlineStr">
        <is>
          <t>Not Started</t>
        </is>
      </c>
      <c r="F13" s="85" t="inlineStr"/>
      <c r="G13" s="84" t="inlineStr">
        <is>
          <t>Not Started</t>
        </is>
      </c>
      <c r="H13" s="85" t="inlineStr"/>
      <c r="I13" s="84" t="inlineStr">
        <is>
          <t>Not Started</t>
        </is>
      </c>
      <c r="J13" s="85" t="inlineStr"/>
      <c r="K13" s="84" t="inlineStr">
        <is>
          <t>Not Started</t>
        </is>
      </c>
      <c r="L13" s="85" t="inlineStr"/>
      <c r="M13" s="84" t="inlineStr">
        <is>
          <t>Not Started</t>
        </is>
      </c>
      <c r="N13" s="85" t="inlineStr"/>
      <c r="O13" s="84" t="inlineStr">
        <is>
          <t>Not Started</t>
        </is>
      </c>
      <c r="P13" s="85" t="inlineStr"/>
      <c r="Q13" s="84" t="inlineStr">
        <is>
          <t>Not Started</t>
        </is>
      </c>
      <c r="R13" s="85" t="inlineStr"/>
      <c r="S13" s="84" t="inlineStr">
        <is>
          <t>Not Started</t>
        </is>
      </c>
      <c r="T13" s="85" t="inlineStr"/>
      <c r="U13" s="84" t="inlineStr">
        <is>
          <t>Not Started</t>
        </is>
      </c>
      <c r="V13" s="85" t="inlineStr"/>
      <c r="W13" s="84" t="inlineStr">
        <is>
          <t>Not Started</t>
        </is>
      </c>
      <c r="X13" s="85" t="inlineStr"/>
      <c r="Y13" s="84" t="inlineStr">
        <is>
          <t>Not Started</t>
        </is>
      </c>
      <c r="Z13" s="85" t="inlineStr"/>
      <c r="AA13" s="84" t="inlineStr">
        <is>
          <t>Not Started</t>
        </is>
      </c>
      <c r="AB13" s="85" t="inlineStr"/>
      <c r="AC13" s="84" t="inlineStr">
        <is>
          <t>Not Started</t>
        </is>
      </c>
      <c r="AD13" s="85" t="inlineStr"/>
      <c r="AE13" s="84" t="inlineStr">
        <is>
          <t>Not Started</t>
        </is>
      </c>
      <c r="AF13" s="85" t="inlineStr"/>
      <c r="AG13" s="84" t="inlineStr">
        <is>
          <t>Not Started</t>
        </is>
      </c>
      <c r="AH13" s="85" t="inlineStr"/>
      <c r="AI13" s="84" t="inlineStr">
        <is>
          <t>Not Started</t>
        </is>
      </c>
      <c r="AJ13" s="85" t="inlineStr"/>
      <c r="AK13" s="84" t="inlineStr">
        <is>
          <t>Not Started</t>
        </is>
      </c>
      <c r="AL13" s="85" t="inlineStr"/>
      <c r="AM13" s="86">
        <f>IF((COUNTIF(C13,"Deficiency")+COUNTIF(E13,"Deficiency")+COUNTIF(G13,"Deficiency")+COUNTIF(I13,"Deficiency")+COUNTIF(K13,"Deficiency")+COUNTIF(M13,"Deficiency"))&gt;0,"Deficiency",IF((COUNTIF(C13,"On Hold")+COUNTIF(E13,"On Hold")+COUNTIF(G13,"On Hold")+COUNTIF(I13,"On Hold")+COUNTIF(K13,"On Hold")+COUNTIF(M13,"On Hold"))&gt;0,"On Hold",IF((COUNTIF(C13,"In Progress")+COUNTIF(E13,"In Progress")+COUNTIF(G13,"In Progress")+COUNTIF(I13,"In Progress")+COUNTIF(K13,"In Progress")+COUNTIF(M13,"In Progress"))&gt;0,"In Progress",IF((COUNTIF(C13,"Not Started")+COUNTIF(E13,"Not Started")+COUNTIF(G13,"Not Started")+COUNTIF(I13,"Not Started")+COUNTIF(K13,"Not Started")+COUNTIF(M13,"Not Started"))=6,"Not Started","Complete"))))</f>
        <v/>
      </c>
      <c r="AN13" s="86">
        <f>IF((COUNTIF(O13,"Deficiency")+COUNTIF(Q13,"Deficiency"))&gt;0,"Deficiency",IF((COUNTIF(O13,"On Hold")+COUNTIF(Q13,"On Hold"))&gt;0,"On Hold",IF((COUNTIF(O13,"In Progress")+COUNTIF(Q13,"In Progress"))&gt;0,"In Progress",IF((COUNTIF(O13,"Not Started")+COUNTIF(Q13,"Not Started"))=2,"Not Started","Complete"))))</f>
        <v/>
      </c>
      <c r="AO13" s="86">
        <f>IF((COUNTIF(S13,"Deficiency")+COUNTIF(U13,"Deficiency")+COUNTIF(W13,"Deficiency")+COUNTIF(Y13,"Deficiency")+COUNTIF(AA13,"Deficiency")+COUNTIF(AC13,"Deficiency")+COUNTIF(AE13,"Deficiency")+COUNTIF(AG13,"Deficiency")+COUNTIF(AI13,"Deficiency"))&gt;0,"Deficiency",IF((COUNTIF(S13,"On Hold")+COUNTIF(U13,"On Hold")+COUNTIF(W13,"On Hold")+COUNTIF(Y13,"On Hold")+COUNTIF(AA13,"On Hold")+COUNTIF(AC13,"On Hold")+COUNTIF(AE13,"On Hold")+COUNTIF(AG13,"On Hold")+COUNTIF(AI13,"On Hold"))&gt;0,"On Hold",IF((COUNTIF(S13,"In Progress")+COUNTIF(U13,"In Progress")+COUNTIF(W13,"In Progress")+COUNTIF(Y13,"In Progress")+COUNTIF(AA13,"In Progress")+COUNTIF(AC13,"In Progress")+COUNTIF(AE13,"In Progress")+COUNTIF(AG13,"In Progress")+COUNTIF(AI13,"In Progress"))&gt;0,"In Progress",IF((COUNTIF(S13,"Not Started")+COUNTIF(U13,"Not Started")+COUNTIF(W13,"Not Started")+COUNTIF(Y13,"Not Started")+COUNTIF(AA13,"Not Started")+COUNTIF(AC13,"Not Started")+COUNTIF(AE13,"Not Started")+COUNTIF(AG13,"Not Started")+COUNTIF(AI13,"Not Started"))=9,"Not Started","Complete"))))</f>
        <v/>
      </c>
      <c r="AP13" s="86">
        <f>AK13</f>
        <v/>
      </c>
      <c r="AQ13" s="86" t="inlineStr"/>
      <c r="AR13" s="86">
        <f>IF((COUNTIF(AM13,"Deficiency")+COUNTIF(AN13,"Deficiency")+COUNTIF(AO13,"Deficiency")+COUNTIF(AP13,"Deficiency"))&gt;0,"Deficiency",IF((COUNTIF(AM13,"On Hold")+COUNTIF(AN13,"On Hold")+COUNTIF(AO13,"On Hold")+COUNTIF(AP13,"On Hold"))&gt;0,"On Hold",IF((COUNTIF(AM13,"In Progress")+COUNTIF(AN13,"In Progress")+COUNTIF(AO13,"In Progress")+COUNTIF(AP13,"In Progress"))&gt;0,"In Progress",IF((COUNTIF(AM13,"Not Started")+COUNTIF(AN13,"Not Started")+COUNTIF(AO13,"Not Started")+COUNTIF(AP13,"Not Started"))=4,"Not Started","Complete"))))</f>
        <v/>
      </c>
      <c r="AS13" s="78" t="n"/>
      <c r="AT13" s="87" t="n"/>
      <c r="AU13" s="78" t="n"/>
      <c r="AV13" s="78" t="n"/>
      <c r="AW13" s="78" t="n"/>
      <c r="AX13" s="78" t="n"/>
    </row>
    <row r="14">
      <c r="A14" s="83" t="n">
        <v>1</v>
      </c>
      <c r="B14" s="83" t="n">
        <v>108</v>
      </c>
      <c r="C14" s="84" t="inlineStr">
        <is>
          <t>Not Started</t>
        </is>
      </c>
      <c r="D14" s="85" t="inlineStr"/>
      <c r="E14" s="84" t="inlineStr">
        <is>
          <t>Not Started</t>
        </is>
      </c>
      <c r="F14" s="85" t="inlineStr"/>
      <c r="G14" s="84" t="inlineStr">
        <is>
          <t>Not Started</t>
        </is>
      </c>
      <c r="H14" s="85" t="inlineStr"/>
      <c r="I14" s="84" t="inlineStr">
        <is>
          <t>Not Started</t>
        </is>
      </c>
      <c r="J14" s="85" t="inlineStr"/>
      <c r="K14" s="84" t="inlineStr">
        <is>
          <t>Not Started</t>
        </is>
      </c>
      <c r="L14" s="85" t="inlineStr"/>
      <c r="M14" s="84" t="inlineStr">
        <is>
          <t>Not Started</t>
        </is>
      </c>
      <c r="N14" s="85" t="inlineStr"/>
      <c r="O14" s="84" t="inlineStr">
        <is>
          <t>Not Started</t>
        </is>
      </c>
      <c r="P14" s="85" t="inlineStr"/>
      <c r="Q14" s="84" t="inlineStr">
        <is>
          <t>Not Started</t>
        </is>
      </c>
      <c r="R14" s="85" t="inlineStr"/>
      <c r="S14" s="84" t="inlineStr">
        <is>
          <t>Not Started</t>
        </is>
      </c>
      <c r="T14" s="85" t="inlineStr"/>
      <c r="U14" s="84" t="inlineStr">
        <is>
          <t>Not Started</t>
        </is>
      </c>
      <c r="V14" s="85" t="inlineStr"/>
      <c r="W14" s="84" t="inlineStr">
        <is>
          <t>Not Started</t>
        </is>
      </c>
      <c r="X14" s="85" t="inlineStr"/>
      <c r="Y14" s="84" t="inlineStr">
        <is>
          <t>Not Started</t>
        </is>
      </c>
      <c r="Z14" s="85" t="inlineStr"/>
      <c r="AA14" s="84" t="inlineStr">
        <is>
          <t>Not Started</t>
        </is>
      </c>
      <c r="AB14" s="85" t="inlineStr"/>
      <c r="AC14" s="84" t="inlineStr">
        <is>
          <t>Not Started</t>
        </is>
      </c>
      <c r="AD14" s="85" t="inlineStr"/>
      <c r="AE14" s="84" t="inlineStr">
        <is>
          <t>Not Started</t>
        </is>
      </c>
      <c r="AF14" s="85" t="inlineStr"/>
      <c r="AG14" s="84" t="inlineStr">
        <is>
          <t>Not Started</t>
        </is>
      </c>
      <c r="AH14" s="85" t="inlineStr"/>
      <c r="AI14" s="84" t="inlineStr">
        <is>
          <t>Not Started</t>
        </is>
      </c>
      <c r="AJ14" s="85" t="inlineStr"/>
      <c r="AK14" s="84" t="inlineStr">
        <is>
          <t>Not Started</t>
        </is>
      </c>
      <c r="AL14" s="85" t="inlineStr"/>
      <c r="AM14" s="86">
        <f>IF((COUNTIF(C14,"Deficiency")+COUNTIF(E14,"Deficiency")+COUNTIF(G14,"Deficiency")+COUNTIF(I14,"Deficiency")+COUNTIF(K14,"Deficiency")+COUNTIF(M14,"Deficiency"))&gt;0,"Deficiency",IF((COUNTIF(C14,"On Hold")+COUNTIF(E14,"On Hold")+COUNTIF(G14,"On Hold")+COUNTIF(I14,"On Hold")+COUNTIF(K14,"On Hold")+COUNTIF(M14,"On Hold"))&gt;0,"On Hold",IF((COUNTIF(C14,"In Progress")+COUNTIF(E14,"In Progress")+COUNTIF(G14,"In Progress")+COUNTIF(I14,"In Progress")+COUNTIF(K14,"In Progress")+COUNTIF(M14,"In Progress"))&gt;0,"In Progress",IF((COUNTIF(C14,"Not Started")+COUNTIF(E14,"Not Started")+COUNTIF(G14,"Not Started")+COUNTIF(I14,"Not Started")+COUNTIF(K14,"Not Started")+COUNTIF(M14,"Not Started"))=6,"Not Started","Complete"))))</f>
        <v/>
      </c>
      <c r="AN14" s="86">
        <f>IF((COUNTIF(O14,"Deficiency")+COUNTIF(Q14,"Deficiency"))&gt;0,"Deficiency",IF((COUNTIF(O14,"On Hold")+COUNTIF(Q14,"On Hold"))&gt;0,"On Hold",IF((COUNTIF(O14,"In Progress")+COUNTIF(Q14,"In Progress"))&gt;0,"In Progress",IF((COUNTIF(O14,"Not Started")+COUNTIF(Q14,"Not Started"))=2,"Not Started","Complete"))))</f>
        <v/>
      </c>
      <c r="AO14" s="86">
        <f>IF((COUNTIF(S14,"Deficiency")+COUNTIF(U14,"Deficiency")+COUNTIF(W14,"Deficiency")+COUNTIF(Y14,"Deficiency")+COUNTIF(AA14,"Deficiency")+COUNTIF(AC14,"Deficiency")+COUNTIF(AE14,"Deficiency")+COUNTIF(AG14,"Deficiency")+COUNTIF(AI14,"Deficiency"))&gt;0,"Deficiency",IF((COUNTIF(S14,"On Hold")+COUNTIF(U14,"On Hold")+COUNTIF(W14,"On Hold")+COUNTIF(Y14,"On Hold")+COUNTIF(AA14,"On Hold")+COUNTIF(AC14,"On Hold")+COUNTIF(AE14,"On Hold")+COUNTIF(AG14,"On Hold")+COUNTIF(AI14,"On Hold"))&gt;0,"On Hold",IF((COUNTIF(S14,"In Progress")+COUNTIF(U14,"In Progress")+COUNTIF(W14,"In Progress")+COUNTIF(Y14,"In Progress")+COUNTIF(AA14,"In Progress")+COUNTIF(AC14,"In Progress")+COUNTIF(AE14,"In Progress")+COUNTIF(AG14,"In Progress")+COUNTIF(AI14,"In Progress"))&gt;0,"In Progress",IF((COUNTIF(S14,"Not Started")+COUNTIF(U14,"Not Started")+COUNTIF(W14,"Not Started")+COUNTIF(Y14,"Not Started")+COUNTIF(AA14,"Not Started")+COUNTIF(AC14,"Not Started")+COUNTIF(AE14,"Not Started")+COUNTIF(AG14,"Not Started")+COUNTIF(AI14,"Not Started"))=9,"Not Started","Complete"))))</f>
        <v/>
      </c>
      <c r="AP14" s="86">
        <f>AK14</f>
        <v/>
      </c>
      <c r="AQ14" s="86" t="inlineStr"/>
      <c r="AR14" s="86">
        <f>IF((COUNTIF(AM14,"Deficiency")+COUNTIF(AN14,"Deficiency")+COUNTIF(AO14,"Deficiency")+COUNTIF(AP14,"Deficiency"))&gt;0,"Deficiency",IF((COUNTIF(AM14,"On Hold")+COUNTIF(AN14,"On Hold")+COUNTIF(AO14,"On Hold")+COUNTIF(AP14,"On Hold"))&gt;0,"On Hold",IF((COUNTIF(AM14,"In Progress")+COUNTIF(AN14,"In Progress")+COUNTIF(AO14,"In Progress")+COUNTIF(AP14,"In Progress"))&gt;0,"In Progress",IF((COUNTIF(AM14,"Not Started")+COUNTIF(AN14,"Not Started")+COUNTIF(AO14,"Not Started")+COUNTIF(AP14,"Not Started"))=4,"Not Started","Complete"))))</f>
        <v/>
      </c>
      <c r="AS14" s="78" t="n"/>
      <c r="AT14" s="87" t="n"/>
      <c r="AU14" s="78" t="n"/>
      <c r="AV14" s="78" t="n"/>
      <c r="AW14" s="78" t="n"/>
      <c r="AX14" s="78" t="n"/>
    </row>
    <row r="15">
      <c r="A15" s="83" t="n">
        <v>1</v>
      </c>
      <c r="B15" s="83" t="n">
        <v>109</v>
      </c>
      <c r="C15" s="84" t="inlineStr">
        <is>
          <t>Not Started</t>
        </is>
      </c>
      <c r="D15" s="85" t="inlineStr"/>
      <c r="E15" s="84" t="inlineStr">
        <is>
          <t>Not Started</t>
        </is>
      </c>
      <c r="F15" s="85" t="inlineStr"/>
      <c r="G15" s="84" t="inlineStr">
        <is>
          <t>Not Started</t>
        </is>
      </c>
      <c r="H15" s="85" t="inlineStr"/>
      <c r="I15" s="84" t="inlineStr">
        <is>
          <t>Not Started</t>
        </is>
      </c>
      <c r="J15" s="85" t="inlineStr"/>
      <c r="K15" s="84" t="inlineStr">
        <is>
          <t>Not Started</t>
        </is>
      </c>
      <c r="L15" s="85" t="inlineStr"/>
      <c r="M15" s="84" t="inlineStr">
        <is>
          <t>Not Started</t>
        </is>
      </c>
      <c r="N15" s="85" t="inlineStr"/>
      <c r="O15" s="84" t="inlineStr">
        <is>
          <t>Not Started</t>
        </is>
      </c>
      <c r="P15" s="85" t="inlineStr"/>
      <c r="Q15" s="84" t="inlineStr">
        <is>
          <t>Not Started</t>
        </is>
      </c>
      <c r="R15" s="85" t="inlineStr"/>
      <c r="S15" s="84" t="inlineStr">
        <is>
          <t>Not Started</t>
        </is>
      </c>
      <c r="T15" s="85" t="inlineStr"/>
      <c r="U15" s="84" t="inlineStr">
        <is>
          <t>Not Started</t>
        </is>
      </c>
      <c r="V15" s="85" t="inlineStr"/>
      <c r="W15" s="84" t="inlineStr">
        <is>
          <t>Not Started</t>
        </is>
      </c>
      <c r="X15" s="85" t="inlineStr"/>
      <c r="Y15" s="84" t="inlineStr">
        <is>
          <t>Not Started</t>
        </is>
      </c>
      <c r="Z15" s="85" t="inlineStr"/>
      <c r="AA15" s="84" t="inlineStr">
        <is>
          <t>Not Started</t>
        </is>
      </c>
      <c r="AB15" s="85" t="inlineStr"/>
      <c r="AC15" s="84" t="inlineStr">
        <is>
          <t>Not Started</t>
        </is>
      </c>
      <c r="AD15" s="85" t="inlineStr"/>
      <c r="AE15" s="84" t="inlineStr">
        <is>
          <t>Not Started</t>
        </is>
      </c>
      <c r="AF15" s="85" t="inlineStr"/>
      <c r="AG15" s="84" t="inlineStr">
        <is>
          <t>Not Started</t>
        </is>
      </c>
      <c r="AH15" s="85" t="inlineStr"/>
      <c r="AI15" s="84" t="inlineStr">
        <is>
          <t>Not Started</t>
        </is>
      </c>
      <c r="AJ15" s="85" t="inlineStr"/>
      <c r="AK15" s="84" t="inlineStr">
        <is>
          <t>Not Started</t>
        </is>
      </c>
      <c r="AL15" s="85" t="inlineStr"/>
      <c r="AM15" s="86">
        <f>IF((COUNTIF(C15,"Deficiency")+COUNTIF(E15,"Deficiency")+COUNTIF(G15,"Deficiency")+COUNTIF(I15,"Deficiency")+COUNTIF(K15,"Deficiency")+COUNTIF(M15,"Deficiency"))&gt;0,"Deficiency",IF((COUNTIF(C15,"On Hold")+COUNTIF(E15,"On Hold")+COUNTIF(G15,"On Hold")+COUNTIF(I15,"On Hold")+COUNTIF(K15,"On Hold")+COUNTIF(M15,"On Hold"))&gt;0,"On Hold",IF((COUNTIF(C15,"In Progress")+COUNTIF(E15,"In Progress")+COUNTIF(G15,"In Progress")+COUNTIF(I15,"In Progress")+COUNTIF(K15,"In Progress")+COUNTIF(M15,"In Progress"))&gt;0,"In Progress",IF((COUNTIF(C15,"Not Started")+COUNTIF(E15,"Not Started")+COUNTIF(G15,"Not Started")+COUNTIF(I15,"Not Started")+COUNTIF(K15,"Not Started")+COUNTIF(M15,"Not Started"))=6,"Not Started","Complete"))))</f>
        <v/>
      </c>
      <c r="AN15" s="86">
        <f>IF((COUNTIF(O15,"Deficiency")+COUNTIF(Q15,"Deficiency"))&gt;0,"Deficiency",IF((COUNTIF(O15,"On Hold")+COUNTIF(Q15,"On Hold"))&gt;0,"On Hold",IF((COUNTIF(O15,"In Progress")+COUNTIF(Q15,"In Progress"))&gt;0,"In Progress",IF((COUNTIF(O15,"Not Started")+COUNTIF(Q15,"Not Started"))=2,"Not Started","Complete"))))</f>
        <v/>
      </c>
      <c r="AO15" s="86">
        <f>IF((COUNTIF(S15,"Deficiency")+COUNTIF(U15,"Deficiency")+COUNTIF(W15,"Deficiency")+COUNTIF(Y15,"Deficiency")+COUNTIF(AA15,"Deficiency")+COUNTIF(AC15,"Deficiency")+COUNTIF(AE15,"Deficiency")+COUNTIF(AG15,"Deficiency")+COUNTIF(AI15,"Deficiency"))&gt;0,"Deficiency",IF((COUNTIF(S15,"On Hold")+COUNTIF(U15,"On Hold")+COUNTIF(W15,"On Hold")+COUNTIF(Y15,"On Hold")+COUNTIF(AA15,"On Hold")+COUNTIF(AC15,"On Hold")+COUNTIF(AE15,"On Hold")+COUNTIF(AG15,"On Hold")+COUNTIF(AI15,"On Hold"))&gt;0,"On Hold",IF((COUNTIF(S15,"In Progress")+COUNTIF(U15,"In Progress")+COUNTIF(W15,"In Progress")+COUNTIF(Y15,"In Progress")+COUNTIF(AA15,"In Progress")+COUNTIF(AC15,"In Progress")+COUNTIF(AE15,"In Progress")+COUNTIF(AG15,"In Progress")+COUNTIF(AI15,"In Progress"))&gt;0,"In Progress",IF((COUNTIF(S15,"Not Started")+COUNTIF(U15,"Not Started")+COUNTIF(W15,"Not Started")+COUNTIF(Y15,"Not Started")+COUNTIF(AA15,"Not Started")+COUNTIF(AC15,"Not Started")+COUNTIF(AE15,"Not Started")+COUNTIF(AG15,"Not Started")+COUNTIF(AI15,"Not Started"))=9,"Not Started","Complete"))))</f>
        <v/>
      </c>
      <c r="AP15" s="86">
        <f>AK15</f>
        <v/>
      </c>
      <c r="AQ15" s="86" t="inlineStr"/>
      <c r="AR15" s="86">
        <f>IF((COUNTIF(AM15,"Deficiency")+COUNTIF(AN15,"Deficiency")+COUNTIF(AO15,"Deficiency")+COUNTIF(AP15,"Deficiency"))&gt;0,"Deficiency",IF((COUNTIF(AM15,"On Hold")+COUNTIF(AN15,"On Hold")+COUNTIF(AO15,"On Hold")+COUNTIF(AP15,"On Hold"))&gt;0,"On Hold",IF((COUNTIF(AM15,"In Progress")+COUNTIF(AN15,"In Progress")+COUNTIF(AO15,"In Progress")+COUNTIF(AP15,"In Progress"))&gt;0,"In Progress",IF((COUNTIF(AM15,"Not Started")+COUNTIF(AN15,"Not Started")+COUNTIF(AO15,"Not Started")+COUNTIF(AP15,"Not Started"))=4,"Not Started","Complete"))))</f>
        <v/>
      </c>
      <c r="AS15" s="78" t="n"/>
      <c r="AT15" s="87" t="n"/>
      <c r="AU15" s="78" t="n"/>
      <c r="AV15" s="78" t="n"/>
      <c r="AW15" s="78" t="n"/>
      <c r="AX15" s="78" t="n"/>
    </row>
    <row r="16">
      <c r="A16" s="83" t="n">
        <v>1</v>
      </c>
      <c r="B16" s="83" t="n">
        <v>110</v>
      </c>
      <c r="C16" s="84" t="inlineStr">
        <is>
          <t>Not Started</t>
        </is>
      </c>
      <c r="D16" s="85" t="inlineStr"/>
      <c r="E16" s="84" t="inlineStr">
        <is>
          <t>Not Started</t>
        </is>
      </c>
      <c r="F16" s="85" t="inlineStr"/>
      <c r="G16" s="84" t="inlineStr">
        <is>
          <t>Not Started</t>
        </is>
      </c>
      <c r="H16" s="85" t="inlineStr"/>
      <c r="I16" s="84" t="inlineStr">
        <is>
          <t>Not Started</t>
        </is>
      </c>
      <c r="J16" s="85" t="inlineStr"/>
      <c r="K16" s="84" t="inlineStr">
        <is>
          <t>Not Started</t>
        </is>
      </c>
      <c r="L16" s="85" t="inlineStr"/>
      <c r="M16" s="84" t="inlineStr">
        <is>
          <t>Not Started</t>
        </is>
      </c>
      <c r="N16" s="85" t="inlineStr"/>
      <c r="O16" s="84" t="inlineStr">
        <is>
          <t>Not Started</t>
        </is>
      </c>
      <c r="P16" s="85" t="inlineStr"/>
      <c r="Q16" s="84" t="inlineStr">
        <is>
          <t>Not Started</t>
        </is>
      </c>
      <c r="R16" s="85" t="inlineStr"/>
      <c r="S16" s="84" t="inlineStr">
        <is>
          <t>Not Started</t>
        </is>
      </c>
      <c r="T16" s="85" t="inlineStr"/>
      <c r="U16" s="84" t="inlineStr">
        <is>
          <t>Not Started</t>
        </is>
      </c>
      <c r="V16" s="85" t="inlineStr"/>
      <c r="W16" s="84" t="inlineStr">
        <is>
          <t>Not Started</t>
        </is>
      </c>
      <c r="X16" s="85" t="inlineStr"/>
      <c r="Y16" s="84" t="inlineStr">
        <is>
          <t>Not Started</t>
        </is>
      </c>
      <c r="Z16" s="85" t="inlineStr"/>
      <c r="AA16" s="84" t="inlineStr">
        <is>
          <t>Not Started</t>
        </is>
      </c>
      <c r="AB16" s="85" t="inlineStr"/>
      <c r="AC16" s="84" t="inlineStr">
        <is>
          <t>Not Started</t>
        </is>
      </c>
      <c r="AD16" s="85" t="inlineStr"/>
      <c r="AE16" s="84" t="inlineStr">
        <is>
          <t>Not Started</t>
        </is>
      </c>
      <c r="AF16" s="85" t="inlineStr"/>
      <c r="AG16" s="84" t="inlineStr">
        <is>
          <t>Not Started</t>
        </is>
      </c>
      <c r="AH16" s="85" t="inlineStr"/>
      <c r="AI16" s="84" t="inlineStr">
        <is>
          <t>Not Started</t>
        </is>
      </c>
      <c r="AJ16" s="85" t="inlineStr"/>
      <c r="AK16" s="84" t="inlineStr">
        <is>
          <t>Not Started</t>
        </is>
      </c>
      <c r="AL16" s="85" t="inlineStr"/>
      <c r="AM16" s="86">
        <f>IF((COUNTIF(C16,"Deficiency")+COUNTIF(E16,"Deficiency")+COUNTIF(G16,"Deficiency")+COUNTIF(I16,"Deficiency")+COUNTIF(K16,"Deficiency")+COUNTIF(M16,"Deficiency"))&gt;0,"Deficiency",IF((COUNTIF(C16,"On Hold")+COUNTIF(E16,"On Hold")+COUNTIF(G16,"On Hold")+COUNTIF(I16,"On Hold")+COUNTIF(K16,"On Hold")+COUNTIF(M16,"On Hold"))&gt;0,"On Hold",IF((COUNTIF(C16,"In Progress")+COUNTIF(E16,"In Progress")+COUNTIF(G16,"In Progress")+COUNTIF(I16,"In Progress")+COUNTIF(K16,"In Progress")+COUNTIF(M16,"In Progress"))&gt;0,"In Progress",IF((COUNTIF(C16,"Not Started")+COUNTIF(E16,"Not Started")+COUNTIF(G16,"Not Started")+COUNTIF(I16,"Not Started")+COUNTIF(K16,"Not Started")+COUNTIF(M16,"Not Started"))=6,"Not Started","Complete"))))</f>
        <v/>
      </c>
      <c r="AN16" s="86">
        <f>IF((COUNTIF(O16,"Deficiency")+COUNTIF(Q16,"Deficiency"))&gt;0,"Deficiency",IF((COUNTIF(O16,"On Hold")+COUNTIF(Q16,"On Hold"))&gt;0,"On Hold",IF((COUNTIF(O16,"In Progress")+COUNTIF(Q16,"In Progress"))&gt;0,"In Progress",IF((COUNTIF(O16,"Not Started")+COUNTIF(Q16,"Not Started"))=2,"Not Started","Complete"))))</f>
        <v/>
      </c>
      <c r="AO16" s="86">
        <f>IF((COUNTIF(S16,"Deficiency")+COUNTIF(U16,"Deficiency")+COUNTIF(W16,"Deficiency")+COUNTIF(Y16,"Deficiency")+COUNTIF(AA16,"Deficiency")+COUNTIF(AC16,"Deficiency")+COUNTIF(AE16,"Deficiency")+COUNTIF(AG16,"Deficiency")+COUNTIF(AI16,"Deficiency"))&gt;0,"Deficiency",IF((COUNTIF(S16,"On Hold")+COUNTIF(U16,"On Hold")+COUNTIF(W16,"On Hold")+COUNTIF(Y16,"On Hold")+COUNTIF(AA16,"On Hold")+COUNTIF(AC16,"On Hold")+COUNTIF(AE16,"On Hold")+COUNTIF(AG16,"On Hold")+COUNTIF(AI16,"On Hold"))&gt;0,"On Hold",IF((COUNTIF(S16,"In Progress")+COUNTIF(U16,"In Progress")+COUNTIF(W16,"In Progress")+COUNTIF(Y16,"In Progress")+COUNTIF(AA16,"In Progress")+COUNTIF(AC16,"In Progress")+COUNTIF(AE16,"In Progress")+COUNTIF(AG16,"In Progress")+COUNTIF(AI16,"In Progress"))&gt;0,"In Progress",IF((COUNTIF(S16,"Not Started")+COUNTIF(U16,"Not Started")+COUNTIF(W16,"Not Started")+COUNTIF(Y16,"Not Started")+COUNTIF(AA16,"Not Started")+COUNTIF(AC16,"Not Started")+COUNTIF(AE16,"Not Started")+COUNTIF(AG16,"Not Started")+COUNTIF(AI16,"Not Started"))=9,"Not Started","Complete"))))</f>
        <v/>
      </c>
      <c r="AP16" s="86">
        <f>AK16</f>
        <v/>
      </c>
      <c r="AQ16" s="86" t="inlineStr"/>
      <c r="AR16" s="86">
        <f>IF((COUNTIF(AM16,"Deficiency")+COUNTIF(AN16,"Deficiency")+COUNTIF(AO16,"Deficiency")+COUNTIF(AP16,"Deficiency"))&gt;0,"Deficiency",IF((COUNTIF(AM16,"On Hold")+COUNTIF(AN16,"On Hold")+COUNTIF(AO16,"On Hold")+COUNTIF(AP16,"On Hold"))&gt;0,"On Hold",IF((COUNTIF(AM16,"In Progress")+COUNTIF(AN16,"In Progress")+COUNTIF(AO16,"In Progress")+COUNTIF(AP16,"In Progress"))&gt;0,"In Progress",IF((COUNTIF(AM16,"Not Started")+COUNTIF(AN16,"Not Started")+COUNTIF(AO16,"Not Started")+COUNTIF(AP16,"Not Started"))=4,"Not Started","Complete"))))</f>
        <v/>
      </c>
      <c r="AS16" s="78" t="n"/>
      <c r="AT16" s="87" t="n"/>
      <c r="AU16" s="78" t="n"/>
      <c r="AV16" s="78" t="n"/>
      <c r="AW16" s="78" t="n"/>
      <c r="AX16" s="78" t="n"/>
    </row>
    <row r="17">
      <c r="A17" s="83" t="n">
        <v>1</v>
      </c>
      <c r="B17" s="83" t="n">
        <v>111</v>
      </c>
      <c r="C17" s="84" t="inlineStr">
        <is>
          <t>Not Started</t>
        </is>
      </c>
      <c r="D17" s="85" t="inlineStr"/>
      <c r="E17" s="84" t="inlineStr">
        <is>
          <t>Not Started</t>
        </is>
      </c>
      <c r="F17" s="85" t="inlineStr"/>
      <c r="G17" s="84" t="inlineStr">
        <is>
          <t>Not Started</t>
        </is>
      </c>
      <c r="H17" s="85" t="inlineStr"/>
      <c r="I17" s="84" t="inlineStr">
        <is>
          <t>Not Started</t>
        </is>
      </c>
      <c r="J17" s="85" t="inlineStr"/>
      <c r="K17" s="84" t="inlineStr">
        <is>
          <t>Not Started</t>
        </is>
      </c>
      <c r="L17" s="85" t="inlineStr"/>
      <c r="M17" s="84" t="inlineStr">
        <is>
          <t>Not Started</t>
        </is>
      </c>
      <c r="N17" s="85" t="inlineStr"/>
      <c r="O17" s="84" t="inlineStr">
        <is>
          <t>Not Started</t>
        </is>
      </c>
      <c r="P17" s="85" t="inlineStr"/>
      <c r="Q17" s="84" t="inlineStr">
        <is>
          <t>Not Started</t>
        </is>
      </c>
      <c r="R17" s="85" t="inlineStr"/>
      <c r="S17" s="84" t="inlineStr">
        <is>
          <t>Not Started</t>
        </is>
      </c>
      <c r="T17" s="85" t="inlineStr"/>
      <c r="U17" s="84" t="inlineStr">
        <is>
          <t>Not Started</t>
        </is>
      </c>
      <c r="V17" s="85" t="inlineStr"/>
      <c r="W17" s="84" t="inlineStr">
        <is>
          <t>Not Started</t>
        </is>
      </c>
      <c r="X17" s="85" t="inlineStr"/>
      <c r="Y17" s="84" t="inlineStr">
        <is>
          <t>Not Started</t>
        </is>
      </c>
      <c r="Z17" s="85" t="inlineStr"/>
      <c r="AA17" s="84" t="inlineStr">
        <is>
          <t>Not Started</t>
        </is>
      </c>
      <c r="AB17" s="85" t="inlineStr"/>
      <c r="AC17" s="84" t="inlineStr">
        <is>
          <t>Not Started</t>
        </is>
      </c>
      <c r="AD17" s="85" t="inlineStr"/>
      <c r="AE17" s="84" t="inlineStr">
        <is>
          <t>Not Started</t>
        </is>
      </c>
      <c r="AF17" s="85" t="inlineStr"/>
      <c r="AG17" s="84" t="inlineStr">
        <is>
          <t>Not Started</t>
        </is>
      </c>
      <c r="AH17" s="85" t="inlineStr"/>
      <c r="AI17" s="84" t="inlineStr">
        <is>
          <t>Not Started</t>
        </is>
      </c>
      <c r="AJ17" s="85" t="inlineStr"/>
      <c r="AK17" s="84" t="inlineStr">
        <is>
          <t>Not Started</t>
        </is>
      </c>
      <c r="AL17" s="85" t="inlineStr"/>
      <c r="AM17" s="86">
        <f>IF((COUNTIF(C17,"Deficiency")+COUNTIF(E17,"Deficiency")+COUNTIF(G17,"Deficiency")+COUNTIF(I17,"Deficiency")+COUNTIF(K17,"Deficiency")+COUNTIF(M17,"Deficiency"))&gt;0,"Deficiency",IF((COUNTIF(C17,"On Hold")+COUNTIF(E17,"On Hold")+COUNTIF(G17,"On Hold")+COUNTIF(I17,"On Hold")+COUNTIF(K17,"On Hold")+COUNTIF(M17,"On Hold"))&gt;0,"On Hold",IF((COUNTIF(C17,"In Progress")+COUNTIF(E17,"In Progress")+COUNTIF(G17,"In Progress")+COUNTIF(I17,"In Progress")+COUNTIF(K17,"In Progress")+COUNTIF(M17,"In Progress"))&gt;0,"In Progress",IF((COUNTIF(C17,"Not Started")+COUNTIF(E17,"Not Started")+COUNTIF(G17,"Not Started")+COUNTIF(I17,"Not Started")+COUNTIF(K17,"Not Started")+COUNTIF(M17,"Not Started"))=6,"Not Started","Complete"))))</f>
        <v/>
      </c>
      <c r="AN17" s="86">
        <f>IF((COUNTIF(O17,"Deficiency")+COUNTIF(Q17,"Deficiency"))&gt;0,"Deficiency",IF((COUNTIF(O17,"On Hold")+COUNTIF(Q17,"On Hold"))&gt;0,"On Hold",IF((COUNTIF(O17,"In Progress")+COUNTIF(Q17,"In Progress"))&gt;0,"In Progress",IF((COUNTIF(O17,"Not Started")+COUNTIF(Q17,"Not Started"))=2,"Not Started","Complete"))))</f>
        <v/>
      </c>
      <c r="AO17" s="86">
        <f>IF((COUNTIF(S17,"Deficiency")+COUNTIF(U17,"Deficiency")+COUNTIF(W17,"Deficiency")+COUNTIF(Y17,"Deficiency")+COUNTIF(AA17,"Deficiency")+COUNTIF(AC17,"Deficiency")+COUNTIF(AE17,"Deficiency")+COUNTIF(AG17,"Deficiency")+COUNTIF(AI17,"Deficiency"))&gt;0,"Deficiency",IF((COUNTIF(S17,"On Hold")+COUNTIF(U17,"On Hold")+COUNTIF(W17,"On Hold")+COUNTIF(Y17,"On Hold")+COUNTIF(AA17,"On Hold")+COUNTIF(AC17,"On Hold")+COUNTIF(AE17,"On Hold")+COUNTIF(AG17,"On Hold")+COUNTIF(AI17,"On Hold"))&gt;0,"On Hold",IF((COUNTIF(S17,"In Progress")+COUNTIF(U17,"In Progress")+COUNTIF(W17,"In Progress")+COUNTIF(Y17,"In Progress")+COUNTIF(AA17,"In Progress")+COUNTIF(AC17,"In Progress")+COUNTIF(AE17,"In Progress")+COUNTIF(AG17,"In Progress")+COUNTIF(AI17,"In Progress"))&gt;0,"In Progress",IF((COUNTIF(S17,"Not Started")+COUNTIF(U17,"Not Started")+COUNTIF(W17,"Not Started")+COUNTIF(Y17,"Not Started")+COUNTIF(AA17,"Not Started")+COUNTIF(AC17,"Not Started")+COUNTIF(AE17,"Not Started")+COUNTIF(AG17,"Not Started")+COUNTIF(AI17,"Not Started"))=9,"Not Started","Complete"))))</f>
        <v/>
      </c>
      <c r="AP17" s="86">
        <f>AK17</f>
        <v/>
      </c>
      <c r="AQ17" s="86" t="inlineStr"/>
      <c r="AR17" s="86">
        <f>IF((COUNTIF(AM17,"Deficiency")+COUNTIF(AN17,"Deficiency")+COUNTIF(AO17,"Deficiency")+COUNTIF(AP17,"Deficiency"))&gt;0,"Deficiency",IF((COUNTIF(AM17,"On Hold")+COUNTIF(AN17,"On Hold")+COUNTIF(AO17,"On Hold")+COUNTIF(AP17,"On Hold"))&gt;0,"On Hold",IF((COUNTIF(AM17,"In Progress")+COUNTIF(AN17,"In Progress")+COUNTIF(AO17,"In Progress")+COUNTIF(AP17,"In Progress"))&gt;0,"In Progress",IF((COUNTIF(AM17,"Not Started")+COUNTIF(AN17,"Not Started")+COUNTIF(AO17,"Not Started")+COUNTIF(AP17,"Not Started"))=4,"Not Started","Complete"))))</f>
        <v/>
      </c>
      <c r="AS17" s="78" t="n"/>
      <c r="AT17" s="87" t="n"/>
      <c r="AU17" s="78" t="n"/>
      <c r="AV17" s="78" t="n"/>
      <c r="AW17" s="78" t="n"/>
      <c r="AX17" s="78" t="n"/>
    </row>
    <row r="18">
      <c r="A18" s="83" t="n">
        <v>1</v>
      </c>
      <c r="B18" s="83" t="n">
        <v>112</v>
      </c>
      <c r="C18" s="84" t="inlineStr">
        <is>
          <t>Not Started</t>
        </is>
      </c>
      <c r="D18" s="85" t="inlineStr"/>
      <c r="E18" s="84" t="inlineStr">
        <is>
          <t>Not Started</t>
        </is>
      </c>
      <c r="F18" s="85" t="inlineStr"/>
      <c r="G18" s="84" t="inlineStr">
        <is>
          <t>Not Started</t>
        </is>
      </c>
      <c r="H18" s="85" t="inlineStr"/>
      <c r="I18" s="84" t="inlineStr">
        <is>
          <t>Not Started</t>
        </is>
      </c>
      <c r="J18" s="85" t="inlineStr"/>
      <c r="K18" s="84" t="inlineStr">
        <is>
          <t>Not Started</t>
        </is>
      </c>
      <c r="L18" s="85" t="inlineStr"/>
      <c r="M18" s="84" t="inlineStr">
        <is>
          <t>Not Started</t>
        </is>
      </c>
      <c r="N18" s="85" t="inlineStr"/>
      <c r="O18" s="84" t="inlineStr">
        <is>
          <t>Not Started</t>
        </is>
      </c>
      <c r="P18" s="85" t="inlineStr"/>
      <c r="Q18" s="84" t="inlineStr">
        <is>
          <t>Not Started</t>
        </is>
      </c>
      <c r="R18" s="85" t="inlineStr"/>
      <c r="S18" s="84" t="inlineStr">
        <is>
          <t>Not Started</t>
        </is>
      </c>
      <c r="T18" s="85" t="inlineStr"/>
      <c r="U18" s="84" t="inlineStr">
        <is>
          <t>Not Started</t>
        </is>
      </c>
      <c r="V18" s="85" t="inlineStr"/>
      <c r="W18" s="84" t="inlineStr">
        <is>
          <t>Not Started</t>
        </is>
      </c>
      <c r="X18" s="85" t="inlineStr"/>
      <c r="Y18" s="84" t="inlineStr">
        <is>
          <t>Not Started</t>
        </is>
      </c>
      <c r="Z18" s="85" t="inlineStr"/>
      <c r="AA18" s="84" t="inlineStr">
        <is>
          <t>Not Started</t>
        </is>
      </c>
      <c r="AB18" s="85" t="inlineStr"/>
      <c r="AC18" s="84" t="inlineStr">
        <is>
          <t>Not Started</t>
        </is>
      </c>
      <c r="AD18" s="85" t="inlineStr"/>
      <c r="AE18" s="84" t="inlineStr">
        <is>
          <t>Not Started</t>
        </is>
      </c>
      <c r="AF18" s="85" t="inlineStr"/>
      <c r="AG18" s="84" t="inlineStr">
        <is>
          <t>Not Started</t>
        </is>
      </c>
      <c r="AH18" s="85" t="inlineStr"/>
      <c r="AI18" s="84" t="inlineStr">
        <is>
          <t>Not Started</t>
        </is>
      </c>
      <c r="AJ18" s="85" t="inlineStr"/>
      <c r="AK18" s="84" t="inlineStr">
        <is>
          <t>Not Started</t>
        </is>
      </c>
      <c r="AL18" s="85" t="inlineStr"/>
      <c r="AM18" s="86">
        <f>IF((COUNTIF(C18,"Deficiency")+COUNTIF(E18,"Deficiency")+COUNTIF(G18,"Deficiency")+COUNTIF(I18,"Deficiency")+COUNTIF(K18,"Deficiency")+COUNTIF(M18,"Deficiency"))&gt;0,"Deficiency",IF((COUNTIF(C18,"On Hold")+COUNTIF(E18,"On Hold")+COUNTIF(G18,"On Hold")+COUNTIF(I18,"On Hold")+COUNTIF(K18,"On Hold")+COUNTIF(M18,"On Hold"))&gt;0,"On Hold",IF((COUNTIF(C18,"In Progress")+COUNTIF(E18,"In Progress")+COUNTIF(G18,"In Progress")+COUNTIF(I18,"In Progress")+COUNTIF(K18,"In Progress")+COUNTIF(M18,"In Progress"))&gt;0,"In Progress",IF((COUNTIF(C18,"Not Started")+COUNTIF(E18,"Not Started")+COUNTIF(G18,"Not Started")+COUNTIF(I18,"Not Started")+COUNTIF(K18,"Not Started")+COUNTIF(M18,"Not Started"))=6,"Not Started","Complete"))))</f>
        <v/>
      </c>
      <c r="AN18" s="86">
        <f>IF((COUNTIF(O18,"Deficiency")+COUNTIF(Q18,"Deficiency"))&gt;0,"Deficiency",IF((COUNTIF(O18,"On Hold")+COUNTIF(Q18,"On Hold"))&gt;0,"On Hold",IF((COUNTIF(O18,"In Progress")+COUNTIF(Q18,"In Progress"))&gt;0,"In Progress",IF((COUNTIF(O18,"Not Started")+COUNTIF(Q18,"Not Started"))=2,"Not Started","Complete"))))</f>
        <v/>
      </c>
      <c r="AO18" s="86">
        <f>IF((COUNTIF(S18,"Deficiency")+COUNTIF(U18,"Deficiency")+COUNTIF(W18,"Deficiency")+COUNTIF(Y18,"Deficiency")+COUNTIF(AA18,"Deficiency")+COUNTIF(AC18,"Deficiency")+COUNTIF(AE18,"Deficiency")+COUNTIF(AG18,"Deficiency")+COUNTIF(AI18,"Deficiency"))&gt;0,"Deficiency",IF((COUNTIF(S18,"On Hold")+COUNTIF(U18,"On Hold")+COUNTIF(W18,"On Hold")+COUNTIF(Y18,"On Hold")+COUNTIF(AA18,"On Hold")+COUNTIF(AC18,"On Hold")+COUNTIF(AE18,"On Hold")+COUNTIF(AG18,"On Hold")+COUNTIF(AI18,"On Hold"))&gt;0,"On Hold",IF((COUNTIF(S18,"In Progress")+COUNTIF(U18,"In Progress")+COUNTIF(W18,"In Progress")+COUNTIF(Y18,"In Progress")+COUNTIF(AA18,"In Progress")+COUNTIF(AC18,"In Progress")+COUNTIF(AE18,"In Progress")+COUNTIF(AG18,"In Progress")+COUNTIF(AI18,"In Progress"))&gt;0,"In Progress",IF((COUNTIF(S18,"Not Started")+COUNTIF(U18,"Not Started")+COUNTIF(W18,"Not Started")+COUNTIF(Y18,"Not Started")+COUNTIF(AA18,"Not Started")+COUNTIF(AC18,"Not Started")+COUNTIF(AE18,"Not Started")+COUNTIF(AG18,"Not Started")+COUNTIF(AI18,"Not Started"))=9,"Not Started","Complete"))))</f>
        <v/>
      </c>
      <c r="AP18" s="86">
        <f>AK18</f>
        <v/>
      </c>
      <c r="AQ18" s="86" t="inlineStr"/>
      <c r="AR18" s="86">
        <f>IF((COUNTIF(AM18,"Deficiency")+COUNTIF(AN18,"Deficiency")+COUNTIF(AO18,"Deficiency")+COUNTIF(AP18,"Deficiency"))&gt;0,"Deficiency",IF((COUNTIF(AM18,"On Hold")+COUNTIF(AN18,"On Hold")+COUNTIF(AO18,"On Hold")+COUNTIF(AP18,"On Hold"))&gt;0,"On Hold",IF((COUNTIF(AM18,"In Progress")+COUNTIF(AN18,"In Progress")+COUNTIF(AO18,"In Progress")+COUNTIF(AP18,"In Progress"))&gt;0,"In Progress",IF((COUNTIF(AM18,"Not Started")+COUNTIF(AN18,"Not Started")+COUNTIF(AO18,"Not Started")+COUNTIF(AP18,"Not Started"))=4,"Not Started","Complete"))))</f>
        <v/>
      </c>
      <c r="AS18" s="78" t="n"/>
      <c r="AT18" s="87" t="n"/>
      <c r="AU18" s="78" t="n"/>
      <c r="AV18" s="78" t="n"/>
      <c r="AW18" s="78" t="n"/>
      <c r="AX18" s="78" t="n"/>
    </row>
    <row r="19">
      <c r="A19" s="83" t="n">
        <v>2</v>
      </c>
      <c r="B19" s="83" t="n">
        <v>201</v>
      </c>
      <c r="C19" s="84" t="inlineStr">
        <is>
          <t>Not Started</t>
        </is>
      </c>
      <c r="D19" s="85" t="inlineStr"/>
      <c r="E19" s="84" t="inlineStr">
        <is>
          <t>Not Started</t>
        </is>
      </c>
      <c r="F19" s="85" t="inlineStr"/>
      <c r="G19" s="84" t="inlineStr">
        <is>
          <t>Not Started</t>
        </is>
      </c>
      <c r="H19" s="85" t="inlineStr"/>
      <c r="I19" s="84" t="inlineStr">
        <is>
          <t>Not Started</t>
        </is>
      </c>
      <c r="J19" s="85" t="inlineStr"/>
      <c r="K19" s="84" t="inlineStr">
        <is>
          <t>Not Started</t>
        </is>
      </c>
      <c r="L19" s="85" t="inlineStr"/>
      <c r="M19" s="84" t="inlineStr">
        <is>
          <t>Not Started</t>
        </is>
      </c>
      <c r="N19" s="85" t="inlineStr"/>
      <c r="O19" s="84" t="inlineStr">
        <is>
          <t>Not Started</t>
        </is>
      </c>
      <c r="P19" s="85" t="inlineStr"/>
      <c r="Q19" s="84" t="inlineStr">
        <is>
          <t>Not Started</t>
        </is>
      </c>
      <c r="R19" s="85" t="inlineStr"/>
      <c r="S19" s="84" t="inlineStr">
        <is>
          <t>Not Started</t>
        </is>
      </c>
      <c r="T19" s="85" t="inlineStr"/>
      <c r="U19" s="84" t="inlineStr">
        <is>
          <t>Not Started</t>
        </is>
      </c>
      <c r="V19" s="85" t="inlineStr"/>
      <c r="W19" s="84" t="inlineStr">
        <is>
          <t>Not Started</t>
        </is>
      </c>
      <c r="X19" s="85" t="inlineStr"/>
      <c r="Y19" s="84" t="inlineStr">
        <is>
          <t>Not Started</t>
        </is>
      </c>
      <c r="Z19" s="85" t="inlineStr"/>
      <c r="AA19" s="84" t="inlineStr">
        <is>
          <t>Not Started</t>
        </is>
      </c>
      <c r="AB19" s="85" t="inlineStr"/>
      <c r="AC19" s="84" t="inlineStr">
        <is>
          <t>Not Started</t>
        </is>
      </c>
      <c r="AD19" s="85" t="inlineStr"/>
      <c r="AE19" s="84" t="inlineStr">
        <is>
          <t>Not Started</t>
        </is>
      </c>
      <c r="AF19" s="85" t="inlineStr"/>
      <c r="AG19" s="84" t="inlineStr">
        <is>
          <t>Not Started</t>
        </is>
      </c>
      <c r="AH19" s="85" t="inlineStr"/>
      <c r="AI19" s="84" t="inlineStr">
        <is>
          <t>Not Started</t>
        </is>
      </c>
      <c r="AJ19" s="85" t="inlineStr"/>
      <c r="AK19" s="84" t="inlineStr">
        <is>
          <t>Not Started</t>
        </is>
      </c>
      <c r="AL19" s="85" t="inlineStr"/>
      <c r="AM19" s="86">
        <f>IF((COUNTIF(C19,"Deficiency")+COUNTIF(E19,"Deficiency")+COUNTIF(G19,"Deficiency")+COUNTIF(I19,"Deficiency")+COUNTIF(K19,"Deficiency")+COUNTIF(M19,"Deficiency"))&gt;0,"Deficiency",IF((COUNTIF(C19,"On Hold")+COUNTIF(E19,"On Hold")+COUNTIF(G19,"On Hold")+COUNTIF(I19,"On Hold")+COUNTIF(K19,"On Hold")+COUNTIF(M19,"On Hold"))&gt;0,"On Hold",IF((COUNTIF(C19,"In Progress")+COUNTIF(E19,"In Progress")+COUNTIF(G19,"In Progress")+COUNTIF(I19,"In Progress")+COUNTIF(K19,"In Progress")+COUNTIF(M19,"In Progress"))&gt;0,"In Progress",IF((COUNTIF(C19,"Not Started")+COUNTIF(E19,"Not Started")+COUNTIF(G19,"Not Started")+COUNTIF(I19,"Not Started")+COUNTIF(K19,"Not Started")+COUNTIF(M19,"Not Started"))=6,"Not Started","Complete"))))</f>
        <v/>
      </c>
      <c r="AN19" s="86">
        <f>IF((COUNTIF(O19,"Deficiency")+COUNTIF(Q19,"Deficiency"))&gt;0,"Deficiency",IF((COUNTIF(O19,"On Hold")+COUNTIF(Q19,"On Hold"))&gt;0,"On Hold",IF((COUNTIF(O19,"In Progress")+COUNTIF(Q19,"In Progress"))&gt;0,"In Progress",IF((COUNTIF(O19,"Not Started")+COUNTIF(Q19,"Not Started"))=2,"Not Started","Complete"))))</f>
        <v/>
      </c>
      <c r="AO19" s="86">
        <f>IF((COUNTIF(S19,"Deficiency")+COUNTIF(U19,"Deficiency")+COUNTIF(W19,"Deficiency")+COUNTIF(Y19,"Deficiency")+COUNTIF(AA19,"Deficiency")+COUNTIF(AC19,"Deficiency")+COUNTIF(AE19,"Deficiency")+COUNTIF(AG19,"Deficiency")+COUNTIF(AI19,"Deficiency"))&gt;0,"Deficiency",IF((COUNTIF(S19,"On Hold")+COUNTIF(U19,"On Hold")+COUNTIF(W19,"On Hold")+COUNTIF(Y19,"On Hold")+COUNTIF(AA19,"On Hold")+COUNTIF(AC19,"On Hold")+COUNTIF(AE19,"On Hold")+COUNTIF(AG19,"On Hold")+COUNTIF(AI19,"On Hold"))&gt;0,"On Hold",IF((COUNTIF(S19,"In Progress")+COUNTIF(U19,"In Progress")+COUNTIF(W19,"In Progress")+COUNTIF(Y19,"In Progress")+COUNTIF(AA19,"In Progress")+COUNTIF(AC19,"In Progress")+COUNTIF(AE19,"In Progress")+COUNTIF(AG19,"In Progress")+COUNTIF(AI19,"In Progress"))&gt;0,"In Progress",IF((COUNTIF(S19,"Not Started")+COUNTIF(U19,"Not Started")+COUNTIF(W19,"Not Started")+COUNTIF(Y19,"Not Started")+COUNTIF(AA19,"Not Started")+COUNTIF(AC19,"Not Started")+COUNTIF(AE19,"Not Started")+COUNTIF(AG19,"Not Started")+COUNTIF(AI19,"Not Started"))=9,"Not Started","Complete"))))</f>
        <v/>
      </c>
      <c r="AP19" s="86">
        <f>AK19</f>
        <v/>
      </c>
      <c r="AQ19" s="86" t="inlineStr"/>
      <c r="AR19" s="86">
        <f>IF((COUNTIF(AM19,"Deficiency")+COUNTIF(AN19,"Deficiency")+COUNTIF(AO19,"Deficiency")+COUNTIF(AP19,"Deficiency"))&gt;0,"Deficiency",IF((COUNTIF(AM19,"On Hold")+COUNTIF(AN19,"On Hold")+COUNTIF(AO19,"On Hold")+COUNTIF(AP19,"On Hold"))&gt;0,"On Hold",IF((COUNTIF(AM19,"In Progress")+COUNTIF(AN19,"In Progress")+COUNTIF(AO19,"In Progress")+COUNTIF(AP19,"In Progress"))&gt;0,"In Progress",IF((COUNTIF(AM19,"Not Started")+COUNTIF(AN19,"Not Started")+COUNTIF(AO19,"Not Started")+COUNTIF(AP19,"Not Started"))=4,"Not Started","Complete"))))</f>
        <v/>
      </c>
      <c r="AS19" s="78" t="n"/>
      <c r="AT19" s="87" t="n"/>
      <c r="AU19" s="78" t="n"/>
      <c r="AV19" s="78" t="n"/>
      <c r="AW19" s="78" t="n"/>
      <c r="AX19" s="78" t="n"/>
    </row>
    <row r="20">
      <c r="A20" s="83" t="n">
        <v>2</v>
      </c>
      <c r="B20" s="83" t="n">
        <v>202</v>
      </c>
      <c r="C20" s="84" t="inlineStr">
        <is>
          <t>Not Started</t>
        </is>
      </c>
      <c r="D20" s="85" t="inlineStr"/>
      <c r="E20" s="84" t="inlineStr">
        <is>
          <t>Not Started</t>
        </is>
      </c>
      <c r="F20" s="85" t="inlineStr"/>
      <c r="G20" s="84" t="inlineStr">
        <is>
          <t>Not Started</t>
        </is>
      </c>
      <c r="H20" s="85" t="inlineStr"/>
      <c r="I20" s="84" t="inlineStr">
        <is>
          <t>Not Started</t>
        </is>
      </c>
      <c r="J20" s="85" t="inlineStr"/>
      <c r="K20" s="84" t="inlineStr">
        <is>
          <t>Not Started</t>
        </is>
      </c>
      <c r="L20" s="85" t="inlineStr"/>
      <c r="M20" s="84" t="inlineStr">
        <is>
          <t>Not Started</t>
        </is>
      </c>
      <c r="N20" s="85" t="inlineStr"/>
      <c r="O20" s="84" t="inlineStr">
        <is>
          <t>Not Started</t>
        </is>
      </c>
      <c r="P20" s="85" t="inlineStr"/>
      <c r="Q20" s="84" t="inlineStr">
        <is>
          <t>Not Started</t>
        </is>
      </c>
      <c r="R20" s="85" t="inlineStr"/>
      <c r="S20" s="84" t="inlineStr">
        <is>
          <t>Not Started</t>
        </is>
      </c>
      <c r="T20" s="85" t="inlineStr"/>
      <c r="U20" s="84" t="inlineStr">
        <is>
          <t>Not Started</t>
        </is>
      </c>
      <c r="V20" s="85" t="inlineStr"/>
      <c r="W20" s="84" t="inlineStr">
        <is>
          <t>Not Started</t>
        </is>
      </c>
      <c r="X20" s="85" t="inlineStr"/>
      <c r="Y20" s="84" t="inlineStr">
        <is>
          <t>Not Started</t>
        </is>
      </c>
      <c r="Z20" s="85" t="inlineStr"/>
      <c r="AA20" s="84" t="inlineStr">
        <is>
          <t>Not Started</t>
        </is>
      </c>
      <c r="AB20" s="85" t="inlineStr"/>
      <c r="AC20" s="84" t="inlineStr">
        <is>
          <t>Not Started</t>
        </is>
      </c>
      <c r="AD20" s="85" t="inlineStr"/>
      <c r="AE20" s="84" t="inlineStr">
        <is>
          <t>Not Started</t>
        </is>
      </c>
      <c r="AF20" s="85" t="inlineStr"/>
      <c r="AG20" s="84" t="inlineStr">
        <is>
          <t>Not Started</t>
        </is>
      </c>
      <c r="AH20" s="85" t="inlineStr"/>
      <c r="AI20" s="84" t="inlineStr">
        <is>
          <t>Not Started</t>
        </is>
      </c>
      <c r="AJ20" s="85" t="inlineStr"/>
      <c r="AK20" s="84" t="inlineStr">
        <is>
          <t>Not Started</t>
        </is>
      </c>
      <c r="AL20" s="85" t="inlineStr"/>
      <c r="AM20" s="86">
        <f>IF((COUNTIF(C20,"Deficiency")+COUNTIF(E20,"Deficiency")+COUNTIF(G20,"Deficiency")+COUNTIF(I20,"Deficiency")+COUNTIF(K20,"Deficiency")+COUNTIF(M20,"Deficiency"))&gt;0,"Deficiency",IF((COUNTIF(C20,"On Hold")+COUNTIF(E20,"On Hold")+COUNTIF(G20,"On Hold")+COUNTIF(I20,"On Hold")+COUNTIF(K20,"On Hold")+COUNTIF(M20,"On Hold"))&gt;0,"On Hold",IF((COUNTIF(C20,"In Progress")+COUNTIF(E20,"In Progress")+COUNTIF(G20,"In Progress")+COUNTIF(I20,"In Progress")+COUNTIF(K20,"In Progress")+COUNTIF(M20,"In Progress"))&gt;0,"In Progress",IF((COUNTIF(C20,"Not Started")+COUNTIF(E20,"Not Started")+COUNTIF(G20,"Not Started")+COUNTIF(I20,"Not Started")+COUNTIF(K20,"Not Started")+COUNTIF(M20,"Not Started"))=6,"Not Started","Complete"))))</f>
        <v/>
      </c>
      <c r="AN20" s="86">
        <f>IF((COUNTIF(O20,"Deficiency")+COUNTIF(Q20,"Deficiency"))&gt;0,"Deficiency",IF((COUNTIF(O20,"On Hold")+COUNTIF(Q20,"On Hold"))&gt;0,"On Hold",IF((COUNTIF(O20,"In Progress")+COUNTIF(Q20,"In Progress"))&gt;0,"In Progress",IF((COUNTIF(O20,"Not Started")+COUNTIF(Q20,"Not Started"))=2,"Not Started","Complete"))))</f>
        <v/>
      </c>
      <c r="AO20" s="86">
        <f>IF((COUNTIF(S20,"Deficiency")+COUNTIF(U20,"Deficiency")+COUNTIF(W20,"Deficiency")+COUNTIF(Y20,"Deficiency")+COUNTIF(AA20,"Deficiency")+COUNTIF(AC20,"Deficiency")+COUNTIF(AE20,"Deficiency")+COUNTIF(AG20,"Deficiency")+COUNTIF(AI20,"Deficiency"))&gt;0,"Deficiency",IF((COUNTIF(S20,"On Hold")+COUNTIF(U20,"On Hold")+COUNTIF(W20,"On Hold")+COUNTIF(Y20,"On Hold")+COUNTIF(AA20,"On Hold")+COUNTIF(AC20,"On Hold")+COUNTIF(AE20,"On Hold")+COUNTIF(AG20,"On Hold")+COUNTIF(AI20,"On Hold"))&gt;0,"On Hold",IF((COUNTIF(S20,"In Progress")+COUNTIF(U20,"In Progress")+COUNTIF(W20,"In Progress")+COUNTIF(Y20,"In Progress")+COUNTIF(AA20,"In Progress")+COUNTIF(AC20,"In Progress")+COUNTIF(AE20,"In Progress")+COUNTIF(AG20,"In Progress")+COUNTIF(AI20,"In Progress"))&gt;0,"In Progress",IF((COUNTIF(S20,"Not Started")+COUNTIF(U20,"Not Started")+COUNTIF(W20,"Not Started")+COUNTIF(Y20,"Not Started")+COUNTIF(AA20,"Not Started")+COUNTIF(AC20,"Not Started")+COUNTIF(AE20,"Not Started")+COUNTIF(AG20,"Not Started")+COUNTIF(AI20,"Not Started"))=9,"Not Started","Complete"))))</f>
        <v/>
      </c>
      <c r="AP20" s="86">
        <f>AK20</f>
        <v/>
      </c>
      <c r="AQ20" s="86" t="inlineStr"/>
      <c r="AR20" s="86">
        <f>IF((COUNTIF(AM20,"Deficiency")+COUNTIF(AN20,"Deficiency")+COUNTIF(AO20,"Deficiency")+COUNTIF(AP20,"Deficiency"))&gt;0,"Deficiency",IF((COUNTIF(AM20,"On Hold")+COUNTIF(AN20,"On Hold")+COUNTIF(AO20,"On Hold")+COUNTIF(AP20,"On Hold"))&gt;0,"On Hold",IF((COUNTIF(AM20,"In Progress")+COUNTIF(AN20,"In Progress")+COUNTIF(AO20,"In Progress")+COUNTIF(AP20,"In Progress"))&gt;0,"In Progress",IF((COUNTIF(AM20,"Not Started")+COUNTIF(AN20,"Not Started")+COUNTIF(AO20,"Not Started")+COUNTIF(AP20,"Not Started"))=4,"Not Started","Complete"))))</f>
        <v/>
      </c>
      <c r="AS20" s="78" t="n"/>
      <c r="AT20" s="87" t="n"/>
      <c r="AU20" s="78" t="n"/>
      <c r="AV20" s="78" t="n"/>
      <c r="AW20" s="78" t="n"/>
      <c r="AX20" s="78" t="n"/>
    </row>
    <row r="21">
      <c r="A21" s="83" t="n">
        <v>2</v>
      </c>
      <c r="B21" s="83" t="n">
        <v>203</v>
      </c>
      <c r="C21" s="84" t="inlineStr">
        <is>
          <t>Not Started</t>
        </is>
      </c>
      <c r="D21" s="85" t="inlineStr"/>
      <c r="E21" s="84" t="inlineStr">
        <is>
          <t>Not Started</t>
        </is>
      </c>
      <c r="F21" s="85" t="inlineStr"/>
      <c r="G21" s="84" t="inlineStr">
        <is>
          <t>Not Started</t>
        </is>
      </c>
      <c r="H21" s="85" t="inlineStr"/>
      <c r="I21" s="84" t="inlineStr">
        <is>
          <t>Not Started</t>
        </is>
      </c>
      <c r="J21" s="85" t="inlineStr"/>
      <c r="K21" s="84" t="inlineStr">
        <is>
          <t>Not Started</t>
        </is>
      </c>
      <c r="L21" s="85" t="inlineStr"/>
      <c r="M21" s="84" t="inlineStr">
        <is>
          <t>Not Started</t>
        </is>
      </c>
      <c r="N21" s="85" t="inlineStr"/>
      <c r="O21" s="84" t="inlineStr">
        <is>
          <t>Not Started</t>
        </is>
      </c>
      <c r="P21" s="85" t="inlineStr"/>
      <c r="Q21" s="84" t="inlineStr">
        <is>
          <t>Not Started</t>
        </is>
      </c>
      <c r="R21" s="85" t="inlineStr"/>
      <c r="S21" s="84" t="inlineStr">
        <is>
          <t>Not Started</t>
        </is>
      </c>
      <c r="T21" s="85" t="inlineStr"/>
      <c r="U21" s="84" t="inlineStr">
        <is>
          <t>Not Started</t>
        </is>
      </c>
      <c r="V21" s="85" t="inlineStr"/>
      <c r="W21" s="84" t="inlineStr">
        <is>
          <t>Not Started</t>
        </is>
      </c>
      <c r="X21" s="85" t="inlineStr"/>
      <c r="Y21" s="84" t="inlineStr">
        <is>
          <t>Not Started</t>
        </is>
      </c>
      <c r="Z21" s="85" t="inlineStr"/>
      <c r="AA21" s="84" t="inlineStr">
        <is>
          <t>Not Started</t>
        </is>
      </c>
      <c r="AB21" s="85" t="inlineStr"/>
      <c r="AC21" s="84" t="inlineStr">
        <is>
          <t>Not Started</t>
        </is>
      </c>
      <c r="AD21" s="85" t="inlineStr"/>
      <c r="AE21" s="84" t="inlineStr">
        <is>
          <t>Not Started</t>
        </is>
      </c>
      <c r="AF21" s="85" t="inlineStr"/>
      <c r="AG21" s="84" t="inlineStr">
        <is>
          <t>Not Started</t>
        </is>
      </c>
      <c r="AH21" s="85" t="inlineStr"/>
      <c r="AI21" s="84" t="inlineStr">
        <is>
          <t>Not Started</t>
        </is>
      </c>
      <c r="AJ21" s="85" t="inlineStr"/>
      <c r="AK21" s="84" t="inlineStr">
        <is>
          <t>Not Started</t>
        </is>
      </c>
      <c r="AL21" s="85" t="inlineStr"/>
      <c r="AM21" s="86">
        <f>IF((COUNTIF(C21,"Deficiency")+COUNTIF(E21,"Deficiency")+COUNTIF(G21,"Deficiency")+COUNTIF(I21,"Deficiency")+COUNTIF(K21,"Deficiency")+COUNTIF(M21,"Deficiency"))&gt;0,"Deficiency",IF((COUNTIF(C21,"On Hold")+COUNTIF(E21,"On Hold")+COUNTIF(G21,"On Hold")+COUNTIF(I21,"On Hold")+COUNTIF(K21,"On Hold")+COUNTIF(M21,"On Hold"))&gt;0,"On Hold",IF((COUNTIF(C21,"In Progress")+COUNTIF(E21,"In Progress")+COUNTIF(G21,"In Progress")+COUNTIF(I21,"In Progress")+COUNTIF(K21,"In Progress")+COUNTIF(M21,"In Progress"))&gt;0,"In Progress",IF((COUNTIF(C21,"Not Started")+COUNTIF(E21,"Not Started")+COUNTIF(G21,"Not Started")+COUNTIF(I21,"Not Started")+COUNTIF(K21,"Not Started")+COUNTIF(M21,"Not Started"))=6,"Not Started","Complete"))))</f>
        <v/>
      </c>
      <c r="AN21" s="86">
        <f>IF((COUNTIF(O21,"Deficiency")+COUNTIF(Q21,"Deficiency"))&gt;0,"Deficiency",IF((COUNTIF(O21,"On Hold")+COUNTIF(Q21,"On Hold"))&gt;0,"On Hold",IF((COUNTIF(O21,"In Progress")+COUNTIF(Q21,"In Progress"))&gt;0,"In Progress",IF((COUNTIF(O21,"Not Started")+COUNTIF(Q21,"Not Started"))=2,"Not Started","Complete"))))</f>
        <v/>
      </c>
      <c r="AO21" s="86">
        <f>IF((COUNTIF(S21,"Deficiency")+COUNTIF(U21,"Deficiency")+COUNTIF(W21,"Deficiency")+COUNTIF(Y21,"Deficiency")+COUNTIF(AA21,"Deficiency")+COUNTIF(AC21,"Deficiency")+COUNTIF(AE21,"Deficiency")+COUNTIF(AG21,"Deficiency")+COUNTIF(AI21,"Deficiency"))&gt;0,"Deficiency",IF((COUNTIF(S21,"On Hold")+COUNTIF(U21,"On Hold")+COUNTIF(W21,"On Hold")+COUNTIF(Y21,"On Hold")+COUNTIF(AA21,"On Hold")+COUNTIF(AC21,"On Hold")+COUNTIF(AE21,"On Hold")+COUNTIF(AG21,"On Hold")+COUNTIF(AI21,"On Hold"))&gt;0,"On Hold",IF((COUNTIF(S21,"In Progress")+COUNTIF(U21,"In Progress")+COUNTIF(W21,"In Progress")+COUNTIF(Y21,"In Progress")+COUNTIF(AA21,"In Progress")+COUNTIF(AC21,"In Progress")+COUNTIF(AE21,"In Progress")+COUNTIF(AG21,"In Progress")+COUNTIF(AI21,"In Progress"))&gt;0,"In Progress",IF((COUNTIF(S21,"Not Started")+COUNTIF(U21,"Not Started")+COUNTIF(W21,"Not Started")+COUNTIF(Y21,"Not Started")+COUNTIF(AA21,"Not Started")+COUNTIF(AC21,"Not Started")+COUNTIF(AE21,"Not Started")+COUNTIF(AG21,"Not Started")+COUNTIF(AI21,"Not Started"))=9,"Not Started","Complete"))))</f>
        <v/>
      </c>
      <c r="AP21" s="86">
        <f>AK21</f>
        <v/>
      </c>
      <c r="AQ21" s="86" t="inlineStr"/>
      <c r="AR21" s="86">
        <f>IF((COUNTIF(AM21,"Deficiency")+COUNTIF(AN21,"Deficiency")+COUNTIF(AO21,"Deficiency")+COUNTIF(AP21,"Deficiency"))&gt;0,"Deficiency",IF((COUNTIF(AM21,"On Hold")+COUNTIF(AN21,"On Hold")+COUNTIF(AO21,"On Hold")+COUNTIF(AP21,"On Hold"))&gt;0,"On Hold",IF((COUNTIF(AM21,"In Progress")+COUNTIF(AN21,"In Progress")+COUNTIF(AO21,"In Progress")+COUNTIF(AP21,"In Progress"))&gt;0,"In Progress",IF((COUNTIF(AM21,"Not Started")+COUNTIF(AN21,"Not Started")+COUNTIF(AO21,"Not Started")+COUNTIF(AP21,"Not Started"))=4,"Not Started","Complete"))))</f>
        <v/>
      </c>
      <c r="AS21" s="78" t="n"/>
      <c r="AT21" s="87" t="n"/>
      <c r="AU21" s="78" t="n"/>
      <c r="AV21" s="78" t="n"/>
      <c r="AW21" s="78" t="n"/>
      <c r="AX21" s="78" t="n"/>
    </row>
    <row r="22">
      <c r="A22" s="83" t="n">
        <v>2</v>
      </c>
      <c r="B22" s="83" t="n">
        <v>204</v>
      </c>
      <c r="C22" s="84" t="inlineStr">
        <is>
          <t>Not Started</t>
        </is>
      </c>
      <c r="D22" s="85" t="inlineStr"/>
      <c r="E22" s="84" t="inlineStr">
        <is>
          <t>Not Started</t>
        </is>
      </c>
      <c r="F22" s="85" t="inlineStr"/>
      <c r="G22" s="84" t="inlineStr">
        <is>
          <t>Not Started</t>
        </is>
      </c>
      <c r="H22" s="85" t="inlineStr"/>
      <c r="I22" s="84" t="inlineStr">
        <is>
          <t>Not Started</t>
        </is>
      </c>
      <c r="J22" s="85" t="inlineStr"/>
      <c r="K22" s="84" t="inlineStr">
        <is>
          <t>Not Started</t>
        </is>
      </c>
      <c r="L22" s="85" t="inlineStr"/>
      <c r="M22" s="84" t="inlineStr">
        <is>
          <t>Not Started</t>
        </is>
      </c>
      <c r="N22" s="85" t="inlineStr"/>
      <c r="O22" s="84" t="inlineStr">
        <is>
          <t>Not Started</t>
        </is>
      </c>
      <c r="P22" s="85" t="inlineStr"/>
      <c r="Q22" s="84" t="inlineStr">
        <is>
          <t>Not Started</t>
        </is>
      </c>
      <c r="R22" s="85" t="inlineStr"/>
      <c r="S22" s="84" t="inlineStr">
        <is>
          <t>Not Started</t>
        </is>
      </c>
      <c r="T22" s="85" t="inlineStr"/>
      <c r="U22" s="84" t="inlineStr">
        <is>
          <t>Not Started</t>
        </is>
      </c>
      <c r="V22" s="85" t="inlineStr"/>
      <c r="W22" s="84" t="inlineStr">
        <is>
          <t>Not Started</t>
        </is>
      </c>
      <c r="X22" s="85" t="inlineStr"/>
      <c r="Y22" s="84" t="inlineStr">
        <is>
          <t>Not Started</t>
        </is>
      </c>
      <c r="Z22" s="85" t="inlineStr"/>
      <c r="AA22" s="84" t="inlineStr">
        <is>
          <t>Not Started</t>
        </is>
      </c>
      <c r="AB22" s="85" t="inlineStr"/>
      <c r="AC22" s="84" t="inlineStr">
        <is>
          <t>Not Started</t>
        </is>
      </c>
      <c r="AD22" s="85" t="inlineStr"/>
      <c r="AE22" s="84" t="inlineStr">
        <is>
          <t>Not Started</t>
        </is>
      </c>
      <c r="AF22" s="85" t="inlineStr"/>
      <c r="AG22" s="84" t="inlineStr">
        <is>
          <t>Not Started</t>
        </is>
      </c>
      <c r="AH22" s="85" t="inlineStr"/>
      <c r="AI22" s="84" t="inlineStr">
        <is>
          <t>Not Started</t>
        </is>
      </c>
      <c r="AJ22" s="85" t="inlineStr"/>
      <c r="AK22" s="84" t="inlineStr">
        <is>
          <t>Not Started</t>
        </is>
      </c>
      <c r="AL22" s="85" t="inlineStr"/>
      <c r="AM22" s="86">
        <f>IF((COUNTIF(C22,"Deficiency")+COUNTIF(E22,"Deficiency")+COUNTIF(G22,"Deficiency")+COUNTIF(I22,"Deficiency")+COUNTIF(K22,"Deficiency")+COUNTIF(M22,"Deficiency"))&gt;0,"Deficiency",IF((COUNTIF(C22,"On Hold")+COUNTIF(E22,"On Hold")+COUNTIF(G22,"On Hold")+COUNTIF(I22,"On Hold")+COUNTIF(K22,"On Hold")+COUNTIF(M22,"On Hold"))&gt;0,"On Hold",IF((COUNTIF(C22,"In Progress")+COUNTIF(E22,"In Progress")+COUNTIF(G22,"In Progress")+COUNTIF(I22,"In Progress")+COUNTIF(K22,"In Progress")+COUNTIF(M22,"In Progress"))&gt;0,"In Progress",IF((COUNTIF(C22,"Not Started")+COUNTIF(E22,"Not Started")+COUNTIF(G22,"Not Started")+COUNTIF(I22,"Not Started")+COUNTIF(K22,"Not Started")+COUNTIF(M22,"Not Started"))=6,"Not Started","Complete"))))</f>
        <v/>
      </c>
      <c r="AN22" s="86">
        <f>IF((COUNTIF(O22,"Deficiency")+COUNTIF(Q22,"Deficiency"))&gt;0,"Deficiency",IF((COUNTIF(O22,"On Hold")+COUNTIF(Q22,"On Hold"))&gt;0,"On Hold",IF((COUNTIF(O22,"In Progress")+COUNTIF(Q22,"In Progress"))&gt;0,"In Progress",IF((COUNTIF(O22,"Not Started")+COUNTIF(Q22,"Not Started"))=2,"Not Started","Complete"))))</f>
        <v/>
      </c>
      <c r="AO22" s="86">
        <f>IF((COUNTIF(S22,"Deficiency")+COUNTIF(U22,"Deficiency")+COUNTIF(W22,"Deficiency")+COUNTIF(Y22,"Deficiency")+COUNTIF(AA22,"Deficiency")+COUNTIF(AC22,"Deficiency")+COUNTIF(AE22,"Deficiency")+COUNTIF(AG22,"Deficiency")+COUNTIF(AI22,"Deficiency"))&gt;0,"Deficiency",IF((COUNTIF(S22,"On Hold")+COUNTIF(U22,"On Hold")+COUNTIF(W22,"On Hold")+COUNTIF(Y22,"On Hold")+COUNTIF(AA22,"On Hold")+COUNTIF(AC22,"On Hold")+COUNTIF(AE22,"On Hold")+COUNTIF(AG22,"On Hold")+COUNTIF(AI22,"On Hold"))&gt;0,"On Hold",IF((COUNTIF(S22,"In Progress")+COUNTIF(U22,"In Progress")+COUNTIF(W22,"In Progress")+COUNTIF(Y22,"In Progress")+COUNTIF(AA22,"In Progress")+COUNTIF(AC22,"In Progress")+COUNTIF(AE22,"In Progress")+COUNTIF(AG22,"In Progress")+COUNTIF(AI22,"In Progress"))&gt;0,"In Progress",IF((COUNTIF(S22,"Not Started")+COUNTIF(U22,"Not Started")+COUNTIF(W22,"Not Started")+COUNTIF(Y22,"Not Started")+COUNTIF(AA22,"Not Started")+COUNTIF(AC22,"Not Started")+COUNTIF(AE22,"Not Started")+COUNTIF(AG22,"Not Started")+COUNTIF(AI22,"Not Started"))=9,"Not Started","Complete"))))</f>
        <v/>
      </c>
      <c r="AP22" s="86">
        <f>AK22</f>
        <v/>
      </c>
      <c r="AQ22" s="86" t="inlineStr"/>
      <c r="AR22" s="86">
        <f>IF((COUNTIF(AM22,"Deficiency")+COUNTIF(AN22,"Deficiency")+COUNTIF(AO22,"Deficiency")+COUNTIF(AP22,"Deficiency"))&gt;0,"Deficiency",IF((COUNTIF(AM22,"On Hold")+COUNTIF(AN22,"On Hold")+COUNTIF(AO22,"On Hold")+COUNTIF(AP22,"On Hold"))&gt;0,"On Hold",IF((COUNTIF(AM22,"In Progress")+COUNTIF(AN22,"In Progress")+COUNTIF(AO22,"In Progress")+COUNTIF(AP22,"In Progress"))&gt;0,"In Progress",IF((COUNTIF(AM22,"Not Started")+COUNTIF(AN22,"Not Started")+COUNTIF(AO22,"Not Started")+COUNTIF(AP22,"Not Started"))=4,"Not Started","Complete"))))</f>
        <v/>
      </c>
      <c r="AS22" s="78" t="n"/>
      <c r="AT22" s="87" t="n"/>
      <c r="AU22" s="78" t="n"/>
      <c r="AV22" s="78" t="n"/>
      <c r="AW22" s="78" t="n"/>
      <c r="AX22" s="78" t="n"/>
    </row>
    <row r="23">
      <c r="A23" s="83" t="n">
        <v>2</v>
      </c>
      <c r="B23" s="83" t="n">
        <v>205</v>
      </c>
      <c r="C23" s="84" t="inlineStr">
        <is>
          <t>Not Started</t>
        </is>
      </c>
      <c r="D23" s="85" t="inlineStr"/>
      <c r="E23" s="84" t="inlineStr">
        <is>
          <t>Not Started</t>
        </is>
      </c>
      <c r="F23" s="85" t="inlineStr"/>
      <c r="G23" s="84" t="inlineStr">
        <is>
          <t>Not Started</t>
        </is>
      </c>
      <c r="H23" s="85" t="inlineStr"/>
      <c r="I23" s="84" t="inlineStr">
        <is>
          <t>Not Started</t>
        </is>
      </c>
      <c r="J23" s="85" t="inlineStr"/>
      <c r="K23" s="84" t="inlineStr">
        <is>
          <t>Not Started</t>
        </is>
      </c>
      <c r="L23" s="85" t="inlineStr"/>
      <c r="M23" s="84" t="inlineStr">
        <is>
          <t>Not Started</t>
        </is>
      </c>
      <c r="N23" s="85" t="inlineStr"/>
      <c r="O23" s="84" t="inlineStr">
        <is>
          <t>Not Started</t>
        </is>
      </c>
      <c r="P23" s="85" t="inlineStr"/>
      <c r="Q23" s="84" t="inlineStr">
        <is>
          <t>Not Started</t>
        </is>
      </c>
      <c r="R23" s="85" t="inlineStr"/>
      <c r="S23" s="84" t="inlineStr">
        <is>
          <t>Not Started</t>
        </is>
      </c>
      <c r="T23" s="85" t="inlineStr"/>
      <c r="U23" s="84" t="inlineStr">
        <is>
          <t>Not Started</t>
        </is>
      </c>
      <c r="V23" s="85" t="inlineStr"/>
      <c r="W23" s="84" t="inlineStr">
        <is>
          <t>Not Started</t>
        </is>
      </c>
      <c r="X23" s="85" t="inlineStr"/>
      <c r="Y23" s="84" t="inlineStr">
        <is>
          <t>Not Started</t>
        </is>
      </c>
      <c r="Z23" s="85" t="inlineStr"/>
      <c r="AA23" s="84" t="inlineStr">
        <is>
          <t>Not Started</t>
        </is>
      </c>
      <c r="AB23" s="85" t="inlineStr"/>
      <c r="AC23" s="84" t="inlineStr">
        <is>
          <t>Not Started</t>
        </is>
      </c>
      <c r="AD23" s="85" t="inlineStr"/>
      <c r="AE23" s="84" t="inlineStr">
        <is>
          <t>Not Started</t>
        </is>
      </c>
      <c r="AF23" s="85" t="inlineStr"/>
      <c r="AG23" s="84" t="inlineStr">
        <is>
          <t>Not Started</t>
        </is>
      </c>
      <c r="AH23" s="85" t="inlineStr"/>
      <c r="AI23" s="84" t="inlineStr">
        <is>
          <t>Not Started</t>
        </is>
      </c>
      <c r="AJ23" s="85" t="inlineStr"/>
      <c r="AK23" s="84" t="inlineStr">
        <is>
          <t>Not Started</t>
        </is>
      </c>
      <c r="AL23" s="85" t="inlineStr"/>
      <c r="AM23" s="86">
        <f>IF((COUNTIF(C23,"Deficiency")+COUNTIF(E23,"Deficiency")+COUNTIF(G23,"Deficiency")+COUNTIF(I23,"Deficiency")+COUNTIF(K23,"Deficiency")+COUNTIF(M23,"Deficiency"))&gt;0,"Deficiency",IF((COUNTIF(C23,"On Hold")+COUNTIF(E23,"On Hold")+COUNTIF(G23,"On Hold")+COUNTIF(I23,"On Hold")+COUNTIF(K23,"On Hold")+COUNTIF(M23,"On Hold"))&gt;0,"On Hold",IF((COUNTIF(C23,"In Progress")+COUNTIF(E23,"In Progress")+COUNTIF(G23,"In Progress")+COUNTIF(I23,"In Progress")+COUNTIF(K23,"In Progress")+COUNTIF(M23,"In Progress"))&gt;0,"In Progress",IF((COUNTIF(C23,"Not Started")+COUNTIF(E23,"Not Started")+COUNTIF(G23,"Not Started")+COUNTIF(I23,"Not Started")+COUNTIF(K23,"Not Started")+COUNTIF(M23,"Not Started"))=6,"Not Started","Complete"))))</f>
        <v/>
      </c>
      <c r="AN23" s="86">
        <f>IF((COUNTIF(O23,"Deficiency")+COUNTIF(Q23,"Deficiency"))&gt;0,"Deficiency",IF((COUNTIF(O23,"On Hold")+COUNTIF(Q23,"On Hold"))&gt;0,"On Hold",IF((COUNTIF(O23,"In Progress")+COUNTIF(Q23,"In Progress"))&gt;0,"In Progress",IF((COUNTIF(O23,"Not Started")+COUNTIF(Q23,"Not Started"))=2,"Not Started","Complete"))))</f>
        <v/>
      </c>
      <c r="AO23" s="86">
        <f>IF((COUNTIF(S23,"Deficiency")+COUNTIF(U23,"Deficiency")+COUNTIF(W23,"Deficiency")+COUNTIF(Y23,"Deficiency")+COUNTIF(AA23,"Deficiency")+COUNTIF(AC23,"Deficiency")+COUNTIF(AE23,"Deficiency")+COUNTIF(AG23,"Deficiency")+COUNTIF(AI23,"Deficiency"))&gt;0,"Deficiency",IF((COUNTIF(S23,"On Hold")+COUNTIF(U23,"On Hold")+COUNTIF(W23,"On Hold")+COUNTIF(Y23,"On Hold")+COUNTIF(AA23,"On Hold")+COUNTIF(AC23,"On Hold")+COUNTIF(AE23,"On Hold")+COUNTIF(AG23,"On Hold")+COUNTIF(AI23,"On Hold"))&gt;0,"On Hold",IF((COUNTIF(S23,"In Progress")+COUNTIF(U23,"In Progress")+COUNTIF(W23,"In Progress")+COUNTIF(Y23,"In Progress")+COUNTIF(AA23,"In Progress")+COUNTIF(AC23,"In Progress")+COUNTIF(AE23,"In Progress")+COUNTIF(AG23,"In Progress")+COUNTIF(AI23,"In Progress"))&gt;0,"In Progress",IF((COUNTIF(S23,"Not Started")+COUNTIF(U23,"Not Started")+COUNTIF(W23,"Not Started")+COUNTIF(Y23,"Not Started")+COUNTIF(AA23,"Not Started")+COUNTIF(AC23,"Not Started")+COUNTIF(AE23,"Not Started")+COUNTIF(AG23,"Not Started")+COUNTIF(AI23,"Not Started"))=9,"Not Started","Complete"))))</f>
        <v/>
      </c>
      <c r="AP23" s="86">
        <f>AK23</f>
        <v/>
      </c>
      <c r="AQ23" s="86" t="inlineStr"/>
      <c r="AR23" s="86">
        <f>IF((COUNTIF(AM23,"Deficiency")+COUNTIF(AN23,"Deficiency")+COUNTIF(AO23,"Deficiency")+COUNTIF(AP23,"Deficiency"))&gt;0,"Deficiency",IF((COUNTIF(AM23,"On Hold")+COUNTIF(AN23,"On Hold")+COUNTIF(AO23,"On Hold")+COUNTIF(AP23,"On Hold"))&gt;0,"On Hold",IF((COUNTIF(AM23,"In Progress")+COUNTIF(AN23,"In Progress")+COUNTIF(AO23,"In Progress")+COUNTIF(AP23,"In Progress"))&gt;0,"In Progress",IF((COUNTIF(AM23,"Not Started")+COUNTIF(AN23,"Not Started")+COUNTIF(AO23,"Not Started")+COUNTIF(AP23,"Not Started"))=4,"Not Started","Complete"))))</f>
        <v/>
      </c>
      <c r="AS23" s="78" t="n"/>
      <c r="AT23" s="87" t="n"/>
      <c r="AU23" s="78" t="n"/>
      <c r="AV23" s="78" t="n"/>
      <c r="AW23" s="78" t="n"/>
      <c r="AX23" s="78" t="n"/>
    </row>
    <row r="24">
      <c r="A24" s="83" t="n">
        <v>2</v>
      </c>
      <c r="B24" s="83" t="n">
        <v>206</v>
      </c>
      <c r="C24" s="84" t="inlineStr">
        <is>
          <t>Not Started</t>
        </is>
      </c>
      <c r="D24" s="85" t="inlineStr"/>
      <c r="E24" s="84" t="inlineStr">
        <is>
          <t>Not Started</t>
        </is>
      </c>
      <c r="F24" s="85" t="inlineStr"/>
      <c r="G24" s="84" t="inlineStr">
        <is>
          <t>Not Started</t>
        </is>
      </c>
      <c r="H24" s="85" t="inlineStr"/>
      <c r="I24" s="84" t="inlineStr">
        <is>
          <t>Not Started</t>
        </is>
      </c>
      <c r="J24" s="85" t="inlineStr"/>
      <c r="K24" s="84" t="inlineStr">
        <is>
          <t>Not Started</t>
        </is>
      </c>
      <c r="L24" s="85" t="inlineStr"/>
      <c r="M24" s="84" t="inlineStr">
        <is>
          <t>Not Started</t>
        </is>
      </c>
      <c r="N24" s="85" t="inlineStr"/>
      <c r="O24" s="84" t="inlineStr">
        <is>
          <t>Not Started</t>
        </is>
      </c>
      <c r="P24" s="85" t="inlineStr"/>
      <c r="Q24" s="84" t="inlineStr">
        <is>
          <t>Not Started</t>
        </is>
      </c>
      <c r="R24" s="85" t="inlineStr"/>
      <c r="S24" s="84" t="inlineStr">
        <is>
          <t>Not Started</t>
        </is>
      </c>
      <c r="T24" s="85" t="inlineStr"/>
      <c r="U24" s="84" t="inlineStr">
        <is>
          <t>Not Started</t>
        </is>
      </c>
      <c r="V24" s="85" t="inlineStr"/>
      <c r="W24" s="84" t="inlineStr">
        <is>
          <t>Not Started</t>
        </is>
      </c>
      <c r="X24" s="85" t="inlineStr"/>
      <c r="Y24" s="84" t="inlineStr">
        <is>
          <t>Not Started</t>
        </is>
      </c>
      <c r="Z24" s="85" t="inlineStr"/>
      <c r="AA24" s="84" t="inlineStr">
        <is>
          <t>Not Started</t>
        </is>
      </c>
      <c r="AB24" s="85" t="inlineStr"/>
      <c r="AC24" s="84" t="inlineStr">
        <is>
          <t>Not Started</t>
        </is>
      </c>
      <c r="AD24" s="85" t="inlineStr"/>
      <c r="AE24" s="84" t="inlineStr">
        <is>
          <t>Not Started</t>
        </is>
      </c>
      <c r="AF24" s="85" t="inlineStr"/>
      <c r="AG24" s="84" t="inlineStr">
        <is>
          <t>Not Started</t>
        </is>
      </c>
      <c r="AH24" s="85" t="inlineStr"/>
      <c r="AI24" s="84" t="inlineStr">
        <is>
          <t>Not Started</t>
        </is>
      </c>
      <c r="AJ24" s="85" t="inlineStr"/>
      <c r="AK24" s="84" t="inlineStr">
        <is>
          <t>Not Started</t>
        </is>
      </c>
      <c r="AL24" s="85" t="inlineStr"/>
      <c r="AM24" s="86">
        <f>IF((COUNTIF(C24,"Deficiency")+COUNTIF(E24,"Deficiency")+COUNTIF(G24,"Deficiency")+COUNTIF(I24,"Deficiency")+COUNTIF(K24,"Deficiency")+COUNTIF(M24,"Deficiency"))&gt;0,"Deficiency",IF((COUNTIF(C24,"On Hold")+COUNTIF(E24,"On Hold")+COUNTIF(G24,"On Hold")+COUNTIF(I24,"On Hold")+COUNTIF(K24,"On Hold")+COUNTIF(M24,"On Hold"))&gt;0,"On Hold",IF((COUNTIF(C24,"In Progress")+COUNTIF(E24,"In Progress")+COUNTIF(G24,"In Progress")+COUNTIF(I24,"In Progress")+COUNTIF(K24,"In Progress")+COUNTIF(M24,"In Progress"))&gt;0,"In Progress",IF((COUNTIF(C24,"Not Started")+COUNTIF(E24,"Not Started")+COUNTIF(G24,"Not Started")+COUNTIF(I24,"Not Started")+COUNTIF(K24,"Not Started")+COUNTIF(M24,"Not Started"))=6,"Not Started","Complete"))))</f>
        <v/>
      </c>
      <c r="AN24" s="86">
        <f>IF((COUNTIF(O24,"Deficiency")+COUNTIF(Q24,"Deficiency"))&gt;0,"Deficiency",IF((COUNTIF(O24,"On Hold")+COUNTIF(Q24,"On Hold"))&gt;0,"On Hold",IF((COUNTIF(O24,"In Progress")+COUNTIF(Q24,"In Progress"))&gt;0,"In Progress",IF((COUNTIF(O24,"Not Started")+COUNTIF(Q24,"Not Started"))=2,"Not Started","Complete"))))</f>
        <v/>
      </c>
      <c r="AO24" s="86">
        <f>IF((COUNTIF(S24,"Deficiency")+COUNTIF(U24,"Deficiency")+COUNTIF(W24,"Deficiency")+COUNTIF(Y24,"Deficiency")+COUNTIF(AA24,"Deficiency")+COUNTIF(AC24,"Deficiency")+COUNTIF(AE24,"Deficiency")+COUNTIF(AG24,"Deficiency")+COUNTIF(AI24,"Deficiency"))&gt;0,"Deficiency",IF((COUNTIF(S24,"On Hold")+COUNTIF(U24,"On Hold")+COUNTIF(W24,"On Hold")+COUNTIF(Y24,"On Hold")+COUNTIF(AA24,"On Hold")+COUNTIF(AC24,"On Hold")+COUNTIF(AE24,"On Hold")+COUNTIF(AG24,"On Hold")+COUNTIF(AI24,"On Hold"))&gt;0,"On Hold",IF((COUNTIF(S24,"In Progress")+COUNTIF(U24,"In Progress")+COUNTIF(W24,"In Progress")+COUNTIF(Y24,"In Progress")+COUNTIF(AA24,"In Progress")+COUNTIF(AC24,"In Progress")+COUNTIF(AE24,"In Progress")+COUNTIF(AG24,"In Progress")+COUNTIF(AI24,"In Progress"))&gt;0,"In Progress",IF((COUNTIF(S24,"Not Started")+COUNTIF(U24,"Not Started")+COUNTIF(W24,"Not Started")+COUNTIF(Y24,"Not Started")+COUNTIF(AA24,"Not Started")+COUNTIF(AC24,"Not Started")+COUNTIF(AE24,"Not Started")+COUNTIF(AG24,"Not Started")+COUNTIF(AI24,"Not Started"))=9,"Not Started","Complete"))))</f>
        <v/>
      </c>
      <c r="AP24" s="86">
        <f>AK24</f>
        <v/>
      </c>
      <c r="AQ24" s="86" t="inlineStr"/>
      <c r="AR24" s="86">
        <f>IF((COUNTIF(AM24,"Deficiency")+COUNTIF(AN24,"Deficiency")+COUNTIF(AO24,"Deficiency")+COUNTIF(AP24,"Deficiency"))&gt;0,"Deficiency",IF((COUNTIF(AM24,"On Hold")+COUNTIF(AN24,"On Hold")+COUNTIF(AO24,"On Hold")+COUNTIF(AP24,"On Hold"))&gt;0,"On Hold",IF((COUNTIF(AM24,"In Progress")+COUNTIF(AN24,"In Progress")+COUNTIF(AO24,"In Progress")+COUNTIF(AP24,"In Progress"))&gt;0,"In Progress",IF((COUNTIF(AM24,"Not Started")+COUNTIF(AN24,"Not Started")+COUNTIF(AO24,"Not Started")+COUNTIF(AP24,"Not Started"))=4,"Not Started","Complete"))))</f>
        <v/>
      </c>
      <c r="AS24" s="78" t="n"/>
      <c r="AT24" s="87" t="n"/>
      <c r="AU24" s="78" t="n"/>
      <c r="AV24" s="78" t="n"/>
      <c r="AW24" s="78" t="n"/>
      <c r="AX24" s="78" t="n"/>
    </row>
    <row r="25">
      <c r="A25" s="83" t="n">
        <v>2</v>
      </c>
      <c r="B25" s="83" t="n">
        <v>207</v>
      </c>
      <c r="C25" s="84" t="inlineStr">
        <is>
          <t>Not Started</t>
        </is>
      </c>
      <c r="D25" s="85" t="inlineStr"/>
      <c r="E25" s="84" t="inlineStr">
        <is>
          <t>Not Started</t>
        </is>
      </c>
      <c r="F25" s="85" t="inlineStr"/>
      <c r="G25" s="84" t="inlineStr">
        <is>
          <t>Not Started</t>
        </is>
      </c>
      <c r="H25" s="85" t="inlineStr"/>
      <c r="I25" s="84" t="inlineStr">
        <is>
          <t>Not Started</t>
        </is>
      </c>
      <c r="J25" s="85" t="inlineStr"/>
      <c r="K25" s="84" t="inlineStr">
        <is>
          <t>Not Started</t>
        </is>
      </c>
      <c r="L25" s="85" t="inlineStr"/>
      <c r="M25" s="84" t="inlineStr">
        <is>
          <t>Not Started</t>
        </is>
      </c>
      <c r="N25" s="85" t="inlineStr"/>
      <c r="O25" s="84" t="inlineStr">
        <is>
          <t>Not Started</t>
        </is>
      </c>
      <c r="P25" s="85" t="inlineStr"/>
      <c r="Q25" s="84" t="inlineStr">
        <is>
          <t>Not Started</t>
        </is>
      </c>
      <c r="R25" s="85" t="inlineStr"/>
      <c r="S25" s="84" t="inlineStr">
        <is>
          <t>Not Started</t>
        </is>
      </c>
      <c r="T25" s="85" t="inlineStr"/>
      <c r="U25" s="84" t="inlineStr">
        <is>
          <t>Not Started</t>
        </is>
      </c>
      <c r="V25" s="85" t="inlineStr"/>
      <c r="W25" s="84" t="inlineStr">
        <is>
          <t>Not Started</t>
        </is>
      </c>
      <c r="X25" s="85" t="inlineStr"/>
      <c r="Y25" s="84" t="inlineStr">
        <is>
          <t>Not Started</t>
        </is>
      </c>
      <c r="Z25" s="85" t="inlineStr"/>
      <c r="AA25" s="84" t="inlineStr">
        <is>
          <t>Not Started</t>
        </is>
      </c>
      <c r="AB25" s="85" t="inlineStr"/>
      <c r="AC25" s="84" t="inlineStr">
        <is>
          <t>Not Started</t>
        </is>
      </c>
      <c r="AD25" s="85" t="inlineStr"/>
      <c r="AE25" s="84" t="inlineStr">
        <is>
          <t>Not Started</t>
        </is>
      </c>
      <c r="AF25" s="85" t="inlineStr"/>
      <c r="AG25" s="84" t="inlineStr">
        <is>
          <t>Not Started</t>
        </is>
      </c>
      <c r="AH25" s="85" t="inlineStr"/>
      <c r="AI25" s="84" t="inlineStr">
        <is>
          <t>Not Started</t>
        </is>
      </c>
      <c r="AJ25" s="85" t="inlineStr"/>
      <c r="AK25" s="84" t="inlineStr">
        <is>
          <t>Not Started</t>
        </is>
      </c>
      <c r="AL25" s="85" t="inlineStr"/>
      <c r="AM25" s="86">
        <f>IF((COUNTIF(C25,"Deficiency")+COUNTIF(E25,"Deficiency")+COUNTIF(G25,"Deficiency")+COUNTIF(I25,"Deficiency")+COUNTIF(K25,"Deficiency")+COUNTIF(M25,"Deficiency"))&gt;0,"Deficiency",IF((COUNTIF(C25,"On Hold")+COUNTIF(E25,"On Hold")+COUNTIF(G25,"On Hold")+COUNTIF(I25,"On Hold")+COUNTIF(K25,"On Hold")+COUNTIF(M25,"On Hold"))&gt;0,"On Hold",IF((COUNTIF(C25,"In Progress")+COUNTIF(E25,"In Progress")+COUNTIF(G25,"In Progress")+COUNTIF(I25,"In Progress")+COUNTIF(K25,"In Progress")+COUNTIF(M25,"In Progress"))&gt;0,"In Progress",IF((COUNTIF(C25,"Not Started")+COUNTIF(E25,"Not Started")+COUNTIF(G25,"Not Started")+COUNTIF(I25,"Not Started")+COUNTIF(K25,"Not Started")+COUNTIF(M25,"Not Started"))=6,"Not Started","Complete"))))</f>
        <v/>
      </c>
      <c r="AN25" s="86">
        <f>IF((COUNTIF(O25,"Deficiency")+COUNTIF(Q25,"Deficiency"))&gt;0,"Deficiency",IF((COUNTIF(O25,"On Hold")+COUNTIF(Q25,"On Hold"))&gt;0,"On Hold",IF((COUNTIF(O25,"In Progress")+COUNTIF(Q25,"In Progress"))&gt;0,"In Progress",IF((COUNTIF(O25,"Not Started")+COUNTIF(Q25,"Not Started"))=2,"Not Started","Complete"))))</f>
        <v/>
      </c>
      <c r="AO25" s="86">
        <f>IF((COUNTIF(S25,"Deficiency")+COUNTIF(U25,"Deficiency")+COUNTIF(W25,"Deficiency")+COUNTIF(Y25,"Deficiency")+COUNTIF(AA25,"Deficiency")+COUNTIF(AC25,"Deficiency")+COUNTIF(AE25,"Deficiency")+COUNTIF(AG25,"Deficiency")+COUNTIF(AI25,"Deficiency"))&gt;0,"Deficiency",IF((COUNTIF(S25,"On Hold")+COUNTIF(U25,"On Hold")+COUNTIF(W25,"On Hold")+COUNTIF(Y25,"On Hold")+COUNTIF(AA25,"On Hold")+COUNTIF(AC25,"On Hold")+COUNTIF(AE25,"On Hold")+COUNTIF(AG25,"On Hold")+COUNTIF(AI25,"On Hold"))&gt;0,"On Hold",IF((COUNTIF(S25,"In Progress")+COUNTIF(U25,"In Progress")+COUNTIF(W25,"In Progress")+COUNTIF(Y25,"In Progress")+COUNTIF(AA25,"In Progress")+COUNTIF(AC25,"In Progress")+COUNTIF(AE25,"In Progress")+COUNTIF(AG25,"In Progress")+COUNTIF(AI25,"In Progress"))&gt;0,"In Progress",IF((COUNTIF(S25,"Not Started")+COUNTIF(U25,"Not Started")+COUNTIF(W25,"Not Started")+COUNTIF(Y25,"Not Started")+COUNTIF(AA25,"Not Started")+COUNTIF(AC25,"Not Started")+COUNTIF(AE25,"Not Started")+COUNTIF(AG25,"Not Started")+COUNTIF(AI25,"Not Started"))=9,"Not Started","Complete"))))</f>
        <v/>
      </c>
      <c r="AP25" s="86">
        <f>AK25</f>
        <v/>
      </c>
      <c r="AQ25" s="86" t="inlineStr"/>
      <c r="AR25" s="86">
        <f>IF((COUNTIF(AM25,"Deficiency")+COUNTIF(AN25,"Deficiency")+COUNTIF(AO25,"Deficiency")+COUNTIF(AP25,"Deficiency"))&gt;0,"Deficiency",IF((COUNTIF(AM25,"On Hold")+COUNTIF(AN25,"On Hold")+COUNTIF(AO25,"On Hold")+COUNTIF(AP25,"On Hold"))&gt;0,"On Hold",IF((COUNTIF(AM25,"In Progress")+COUNTIF(AN25,"In Progress")+COUNTIF(AO25,"In Progress")+COUNTIF(AP25,"In Progress"))&gt;0,"In Progress",IF((COUNTIF(AM25,"Not Started")+COUNTIF(AN25,"Not Started")+COUNTIF(AO25,"Not Started")+COUNTIF(AP25,"Not Started"))=4,"Not Started","Complete"))))</f>
        <v/>
      </c>
      <c r="AS25" s="78" t="n"/>
      <c r="AT25" s="87" t="n"/>
      <c r="AU25" s="78" t="n"/>
      <c r="AV25" s="78" t="n"/>
      <c r="AW25" s="78" t="n"/>
      <c r="AX25" s="78" t="n"/>
    </row>
    <row r="26">
      <c r="A26" s="83" t="n">
        <v>2</v>
      </c>
      <c r="B26" s="83" t="n">
        <v>208</v>
      </c>
      <c r="C26" s="84" t="inlineStr">
        <is>
          <t>Not Started</t>
        </is>
      </c>
      <c r="D26" s="85" t="inlineStr"/>
      <c r="E26" s="84" t="inlineStr">
        <is>
          <t>Not Started</t>
        </is>
      </c>
      <c r="F26" s="85" t="inlineStr"/>
      <c r="G26" s="84" t="inlineStr">
        <is>
          <t>Not Started</t>
        </is>
      </c>
      <c r="H26" s="85" t="inlineStr"/>
      <c r="I26" s="84" t="inlineStr">
        <is>
          <t>Not Started</t>
        </is>
      </c>
      <c r="J26" s="85" t="inlineStr"/>
      <c r="K26" s="84" t="inlineStr">
        <is>
          <t>Not Started</t>
        </is>
      </c>
      <c r="L26" s="85" t="inlineStr"/>
      <c r="M26" s="84" t="inlineStr">
        <is>
          <t>Not Started</t>
        </is>
      </c>
      <c r="N26" s="85" t="inlineStr"/>
      <c r="O26" s="84" t="inlineStr">
        <is>
          <t>Not Started</t>
        </is>
      </c>
      <c r="P26" s="85" t="inlineStr"/>
      <c r="Q26" s="84" t="inlineStr">
        <is>
          <t>Not Started</t>
        </is>
      </c>
      <c r="R26" s="85" t="inlineStr"/>
      <c r="S26" s="84" t="inlineStr">
        <is>
          <t>Not Started</t>
        </is>
      </c>
      <c r="T26" s="85" t="inlineStr"/>
      <c r="U26" s="84" t="inlineStr">
        <is>
          <t>Not Started</t>
        </is>
      </c>
      <c r="V26" s="85" t="inlineStr"/>
      <c r="W26" s="84" t="inlineStr">
        <is>
          <t>Not Started</t>
        </is>
      </c>
      <c r="X26" s="85" t="inlineStr"/>
      <c r="Y26" s="84" t="inlineStr">
        <is>
          <t>Not Started</t>
        </is>
      </c>
      <c r="Z26" s="85" t="inlineStr"/>
      <c r="AA26" s="84" t="inlineStr">
        <is>
          <t>Not Started</t>
        </is>
      </c>
      <c r="AB26" s="85" t="inlineStr"/>
      <c r="AC26" s="84" t="inlineStr">
        <is>
          <t>Not Started</t>
        </is>
      </c>
      <c r="AD26" s="85" t="inlineStr"/>
      <c r="AE26" s="84" t="inlineStr">
        <is>
          <t>Not Started</t>
        </is>
      </c>
      <c r="AF26" s="85" t="inlineStr"/>
      <c r="AG26" s="84" t="inlineStr">
        <is>
          <t>Not Started</t>
        </is>
      </c>
      <c r="AH26" s="85" t="inlineStr"/>
      <c r="AI26" s="84" t="inlineStr">
        <is>
          <t>Not Started</t>
        </is>
      </c>
      <c r="AJ26" s="85" t="inlineStr"/>
      <c r="AK26" s="84" t="inlineStr">
        <is>
          <t>Not Started</t>
        </is>
      </c>
      <c r="AL26" s="85" t="inlineStr"/>
      <c r="AM26" s="86">
        <f>IF((COUNTIF(C26,"Deficiency")+COUNTIF(E26,"Deficiency")+COUNTIF(G26,"Deficiency")+COUNTIF(I26,"Deficiency")+COUNTIF(K26,"Deficiency")+COUNTIF(M26,"Deficiency"))&gt;0,"Deficiency",IF((COUNTIF(C26,"On Hold")+COUNTIF(E26,"On Hold")+COUNTIF(G26,"On Hold")+COUNTIF(I26,"On Hold")+COUNTIF(K26,"On Hold")+COUNTIF(M26,"On Hold"))&gt;0,"On Hold",IF((COUNTIF(C26,"In Progress")+COUNTIF(E26,"In Progress")+COUNTIF(G26,"In Progress")+COUNTIF(I26,"In Progress")+COUNTIF(K26,"In Progress")+COUNTIF(M26,"In Progress"))&gt;0,"In Progress",IF((COUNTIF(C26,"Not Started")+COUNTIF(E26,"Not Started")+COUNTIF(G26,"Not Started")+COUNTIF(I26,"Not Started")+COUNTIF(K26,"Not Started")+COUNTIF(M26,"Not Started"))=6,"Not Started","Complete"))))</f>
        <v/>
      </c>
      <c r="AN26" s="86">
        <f>IF((COUNTIF(O26,"Deficiency")+COUNTIF(Q26,"Deficiency"))&gt;0,"Deficiency",IF((COUNTIF(O26,"On Hold")+COUNTIF(Q26,"On Hold"))&gt;0,"On Hold",IF((COUNTIF(O26,"In Progress")+COUNTIF(Q26,"In Progress"))&gt;0,"In Progress",IF((COUNTIF(O26,"Not Started")+COUNTIF(Q26,"Not Started"))=2,"Not Started","Complete"))))</f>
        <v/>
      </c>
      <c r="AO26" s="86">
        <f>IF((COUNTIF(S26,"Deficiency")+COUNTIF(U26,"Deficiency")+COUNTIF(W26,"Deficiency")+COUNTIF(Y26,"Deficiency")+COUNTIF(AA26,"Deficiency")+COUNTIF(AC26,"Deficiency")+COUNTIF(AE26,"Deficiency")+COUNTIF(AG26,"Deficiency")+COUNTIF(AI26,"Deficiency"))&gt;0,"Deficiency",IF((COUNTIF(S26,"On Hold")+COUNTIF(U26,"On Hold")+COUNTIF(W26,"On Hold")+COUNTIF(Y26,"On Hold")+COUNTIF(AA26,"On Hold")+COUNTIF(AC26,"On Hold")+COUNTIF(AE26,"On Hold")+COUNTIF(AG26,"On Hold")+COUNTIF(AI26,"On Hold"))&gt;0,"On Hold",IF((COUNTIF(S26,"In Progress")+COUNTIF(U26,"In Progress")+COUNTIF(W26,"In Progress")+COUNTIF(Y26,"In Progress")+COUNTIF(AA26,"In Progress")+COUNTIF(AC26,"In Progress")+COUNTIF(AE26,"In Progress")+COUNTIF(AG26,"In Progress")+COUNTIF(AI26,"In Progress"))&gt;0,"In Progress",IF((COUNTIF(S26,"Not Started")+COUNTIF(U26,"Not Started")+COUNTIF(W26,"Not Started")+COUNTIF(Y26,"Not Started")+COUNTIF(AA26,"Not Started")+COUNTIF(AC26,"Not Started")+COUNTIF(AE26,"Not Started")+COUNTIF(AG26,"Not Started")+COUNTIF(AI26,"Not Started"))=9,"Not Started","Complete"))))</f>
        <v/>
      </c>
      <c r="AP26" s="86">
        <f>AK26</f>
        <v/>
      </c>
      <c r="AQ26" s="86" t="inlineStr"/>
      <c r="AR26" s="86">
        <f>IF((COUNTIF(AM26,"Deficiency")+COUNTIF(AN26,"Deficiency")+COUNTIF(AO26,"Deficiency")+COUNTIF(AP26,"Deficiency"))&gt;0,"Deficiency",IF((COUNTIF(AM26,"On Hold")+COUNTIF(AN26,"On Hold")+COUNTIF(AO26,"On Hold")+COUNTIF(AP26,"On Hold"))&gt;0,"On Hold",IF((COUNTIF(AM26,"In Progress")+COUNTIF(AN26,"In Progress")+COUNTIF(AO26,"In Progress")+COUNTIF(AP26,"In Progress"))&gt;0,"In Progress",IF((COUNTIF(AM26,"Not Started")+COUNTIF(AN26,"Not Started")+COUNTIF(AO26,"Not Started")+COUNTIF(AP26,"Not Started"))=4,"Not Started","Complete"))))</f>
        <v/>
      </c>
      <c r="AS26" s="78" t="n"/>
      <c r="AT26" s="87" t="n"/>
      <c r="AU26" s="78" t="n"/>
      <c r="AV26" s="78" t="n"/>
      <c r="AW26" s="78" t="n"/>
      <c r="AX26" s="78" t="n"/>
    </row>
    <row r="27">
      <c r="A27" s="83" t="n">
        <v>2</v>
      </c>
      <c r="B27" s="83" t="n">
        <v>209</v>
      </c>
      <c r="C27" s="84" t="inlineStr">
        <is>
          <t>Not Started</t>
        </is>
      </c>
      <c r="D27" s="85" t="inlineStr"/>
      <c r="E27" s="84" t="inlineStr">
        <is>
          <t>Not Started</t>
        </is>
      </c>
      <c r="F27" s="85" t="inlineStr"/>
      <c r="G27" s="84" t="inlineStr">
        <is>
          <t>Not Started</t>
        </is>
      </c>
      <c r="H27" s="85" t="inlineStr"/>
      <c r="I27" s="84" t="inlineStr">
        <is>
          <t>Not Started</t>
        </is>
      </c>
      <c r="J27" s="85" t="inlineStr"/>
      <c r="K27" s="84" t="inlineStr">
        <is>
          <t>Not Started</t>
        </is>
      </c>
      <c r="L27" s="85" t="inlineStr"/>
      <c r="M27" s="84" t="inlineStr">
        <is>
          <t>Not Started</t>
        </is>
      </c>
      <c r="N27" s="85" t="inlineStr"/>
      <c r="O27" s="84" t="inlineStr">
        <is>
          <t>Not Started</t>
        </is>
      </c>
      <c r="P27" s="85" t="inlineStr"/>
      <c r="Q27" s="84" t="inlineStr">
        <is>
          <t>Not Started</t>
        </is>
      </c>
      <c r="R27" s="85" t="inlineStr"/>
      <c r="S27" s="84" t="inlineStr">
        <is>
          <t>Not Started</t>
        </is>
      </c>
      <c r="T27" s="85" t="inlineStr"/>
      <c r="U27" s="84" t="inlineStr">
        <is>
          <t>Not Started</t>
        </is>
      </c>
      <c r="V27" s="85" t="inlineStr"/>
      <c r="W27" s="84" t="inlineStr">
        <is>
          <t>Not Started</t>
        </is>
      </c>
      <c r="X27" s="85" t="inlineStr"/>
      <c r="Y27" s="84" t="inlineStr">
        <is>
          <t>Not Started</t>
        </is>
      </c>
      <c r="Z27" s="85" t="inlineStr"/>
      <c r="AA27" s="84" t="inlineStr">
        <is>
          <t>Not Started</t>
        </is>
      </c>
      <c r="AB27" s="85" t="inlineStr"/>
      <c r="AC27" s="84" t="inlineStr">
        <is>
          <t>Not Started</t>
        </is>
      </c>
      <c r="AD27" s="85" t="inlineStr"/>
      <c r="AE27" s="84" t="inlineStr">
        <is>
          <t>Not Started</t>
        </is>
      </c>
      <c r="AF27" s="85" t="inlineStr"/>
      <c r="AG27" s="84" t="inlineStr">
        <is>
          <t>Not Started</t>
        </is>
      </c>
      <c r="AH27" s="85" t="inlineStr"/>
      <c r="AI27" s="84" t="inlineStr">
        <is>
          <t>Not Started</t>
        </is>
      </c>
      <c r="AJ27" s="85" t="inlineStr"/>
      <c r="AK27" s="84" t="inlineStr">
        <is>
          <t>Not Started</t>
        </is>
      </c>
      <c r="AL27" s="85" t="inlineStr"/>
      <c r="AM27" s="86">
        <f>IF((COUNTIF(C27,"Deficiency")+COUNTIF(E27,"Deficiency")+COUNTIF(G27,"Deficiency")+COUNTIF(I27,"Deficiency")+COUNTIF(K27,"Deficiency")+COUNTIF(M27,"Deficiency"))&gt;0,"Deficiency",IF((COUNTIF(C27,"On Hold")+COUNTIF(E27,"On Hold")+COUNTIF(G27,"On Hold")+COUNTIF(I27,"On Hold")+COUNTIF(K27,"On Hold")+COUNTIF(M27,"On Hold"))&gt;0,"On Hold",IF((COUNTIF(C27,"In Progress")+COUNTIF(E27,"In Progress")+COUNTIF(G27,"In Progress")+COUNTIF(I27,"In Progress")+COUNTIF(K27,"In Progress")+COUNTIF(M27,"In Progress"))&gt;0,"In Progress",IF((COUNTIF(C27,"Not Started")+COUNTIF(E27,"Not Started")+COUNTIF(G27,"Not Started")+COUNTIF(I27,"Not Started")+COUNTIF(K27,"Not Started")+COUNTIF(M27,"Not Started"))=6,"Not Started","Complete"))))</f>
        <v/>
      </c>
      <c r="AN27" s="86">
        <f>IF((COUNTIF(O27,"Deficiency")+COUNTIF(Q27,"Deficiency"))&gt;0,"Deficiency",IF((COUNTIF(O27,"On Hold")+COUNTIF(Q27,"On Hold"))&gt;0,"On Hold",IF((COUNTIF(O27,"In Progress")+COUNTIF(Q27,"In Progress"))&gt;0,"In Progress",IF((COUNTIF(O27,"Not Started")+COUNTIF(Q27,"Not Started"))=2,"Not Started","Complete"))))</f>
        <v/>
      </c>
      <c r="AO27" s="86">
        <f>IF((COUNTIF(S27,"Deficiency")+COUNTIF(U27,"Deficiency")+COUNTIF(W27,"Deficiency")+COUNTIF(Y27,"Deficiency")+COUNTIF(AA27,"Deficiency")+COUNTIF(AC27,"Deficiency")+COUNTIF(AE27,"Deficiency")+COUNTIF(AG27,"Deficiency")+COUNTIF(AI27,"Deficiency"))&gt;0,"Deficiency",IF((COUNTIF(S27,"On Hold")+COUNTIF(U27,"On Hold")+COUNTIF(W27,"On Hold")+COUNTIF(Y27,"On Hold")+COUNTIF(AA27,"On Hold")+COUNTIF(AC27,"On Hold")+COUNTIF(AE27,"On Hold")+COUNTIF(AG27,"On Hold")+COUNTIF(AI27,"On Hold"))&gt;0,"On Hold",IF((COUNTIF(S27,"In Progress")+COUNTIF(U27,"In Progress")+COUNTIF(W27,"In Progress")+COUNTIF(Y27,"In Progress")+COUNTIF(AA27,"In Progress")+COUNTIF(AC27,"In Progress")+COUNTIF(AE27,"In Progress")+COUNTIF(AG27,"In Progress")+COUNTIF(AI27,"In Progress"))&gt;0,"In Progress",IF((COUNTIF(S27,"Not Started")+COUNTIF(U27,"Not Started")+COUNTIF(W27,"Not Started")+COUNTIF(Y27,"Not Started")+COUNTIF(AA27,"Not Started")+COUNTIF(AC27,"Not Started")+COUNTIF(AE27,"Not Started")+COUNTIF(AG27,"Not Started")+COUNTIF(AI27,"Not Started"))=9,"Not Started","Complete"))))</f>
        <v/>
      </c>
      <c r="AP27" s="86">
        <f>AK27</f>
        <v/>
      </c>
      <c r="AQ27" s="86" t="inlineStr"/>
      <c r="AR27" s="86">
        <f>IF((COUNTIF(AM27,"Deficiency")+COUNTIF(AN27,"Deficiency")+COUNTIF(AO27,"Deficiency")+COUNTIF(AP27,"Deficiency"))&gt;0,"Deficiency",IF((COUNTIF(AM27,"On Hold")+COUNTIF(AN27,"On Hold")+COUNTIF(AO27,"On Hold")+COUNTIF(AP27,"On Hold"))&gt;0,"On Hold",IF((COUNTIF(AM27,"In Progress")+COUNTIF(AN27,"In Progress")+COUNTIF(AO27,"In Progress")+COUNTIF(AP27,"In Progress"))&gt;0,"In Progress",IF((COUNTIF(AM27,"Not Started")+COUNTIF(AN27,"Not Started")+COUNTIF(AO27,"Not Started")+COUNTIF(AP27,"Not Started"))=4,"Not Started","Complete"))))</f>
        <v/>
      </c>
      <c r="AS27" s="78" t="n"/>
      <c r="AT27" s="87" t="n"/>
      <c r="AU27" s="78" t="n"/>
      <c r="AV27" s="78" t="n"/>
      <c r="AW27" s="78" t="n"/>
      <c r="AX27" s="78" t="n"/>
    </row>
    <row r="28">
      <c r="A28" s="83" t="n">
        <v>2</v>
      </c>
      <c r="B28" s="83" t="n">
        <v>210</v>
      </c>
      <c r="C28" s="84" t="inlineStr">
        <is>
          <t>Not Started</t>
        </is>
      </c>
      <c r="D28" s="85" t="inlineStr"/>
      <c r="E28" s="84" t="inlineStr">
        <is>
          <t>Not Started</t>
        </is>
      </c>
      <c r="F28" s="85" t="inlineStr"/>
      <c r="G28" s="84" t="inlineStr">
        <is>
          <t>Not Started</t>
        </is>
      </c>
      <c r="H28" s="85" t="inlineStr"/>
      <c r="I28" s="84" t="inlineStr">
        <is>
          <t>Not Started</t>
        </is>
      </c>
      <c r="J28" s="85" t="inlineStr"/>
      <c r="K28" s="84" t="inlineStr">
        <is>
          <t>Not Started</t>
        </is>
      </c>
      <c r="L28" s="85" t="inlineStr"/>
      <c r="M28" s="84" t="inlineStr">
        <is>
          <t>Not Started</t>
        </is>
      </c>
      <c r="N28" s="85" t="inlineStr"/>
      <c r="O28" s="84" t="inlineStr">
        <is>
          <t>Not Started</t>
        </is>
      </c>
      <c r="P28" s="85" t="inlineStr"/>
      <c r="Q28" s="84" t="inlineStr">
        <is>
          <t>Not Started</t>
        </is>
      </c>
      <c r="R28" s="85" t="inlineStr"/>
      <c r="S28" s="84" t="inlineStr">
        <is>
          <t>Not Started</t>
        </is>
      </c>
      <c r="T28" s="85" t="inlineStr"/>
      <c r="U28" s="84" t="inlineStr">
        <is>
          <t>Not Started</t>
        </is>
      </c>
      <c r="V28" s="85" t="inlineStr"/>
      <c r="W28" s="84" t="inlineStr">
        <is>
          <t>Not Started</t>
        </is>
      </c>
      <c r="X28" s="85" t="inlineStr"/>
      <c r="Y28" s="84" t="inlineStr">
        <is>
          <t>Not Started</t>
        </is>
      </c>
      <c r="Z28" s="85" t="inlineStr"/>
      <c r="AA28" s="84" t="inlineStr">
        <is>
          <t>Not Started</t>
        </is>
      </c>
      <c r="AB28" s="85" t="inlineStr"/>
      <c r="AC28" s="84" t="inlineStr">
        <is>
          <t>Not Started</t>
        </is>
      </c>
      <c r="AD28" s="85" t="inlineStr"/>
      <c r="AE28" s="84" t="inlineStr">
        <is>
          <t>Not Started</t>
        </is>
      </c>
      <c r="AF28" s="85" t="inlineStr"/>
      <c r="AG28" s="84" t="inlineStr">
        <is>
          <t>Not Started</t>
        </is>
      </c>
      <c r="AH28" s="85" t="inlineStr"/>
      <c r="AI28" s="84" t="inlineStr">
        <is>
          <t>Not Started</t>
        </is>
      </c>
      <c r="AJ28" s="85" t="inlineStr"/>
      <c r="AK28" s="84" t="inlineStr">
        <is>
          <t>Not Started</t>
        </is>
      </c>
      <c r="AL28" s="85" t="inlineStr"/>
      <c r="AM28" s="86">
        <f>IF((COUNTIF(C28,"Deficiency")+COUNTIF(E28,"Deficiency")+COUNTIF(G28,"Deficiency")+COUNTIF(I28,"Deficiency")+COUNTIF(K28,"Deficiency")+COUNTIF(M28,"Deficiency"))&gt;0,"Deficiency",IF((COUNTIF(C28,"On Hold")+COUNTIF(E28,"On Hold")+COUNTIF(G28,"On Hold")+COUNTIF(I28,"On Hold")+COUNTIF(K28,"On Hold")+COUNTIF(M28,"On Hold"))&gt;0,"On Hold",IF((COUNTIF(C28,"In Progress")+COUNTIF(E28,"In Progress")+COUNTIF(G28,"In Progress")+COUNTIF(I28,"In Progress")+COUNTIF(K28,"In Progress")+COUNTIF(M28,"In Progress"))&gt;0,"In Progress",IF((COUNTIF(C28,"Not Started")+COUNTIF(E28,"Not Started")+COUNTIF(G28,"Not Started")+COUNTIF(I28,"Not Started")+COUNTIF(K28,"Not Started")+COUNTIF(M28,"Not Started"))=6,"Not Started","Complete"))))</f>
        <v/>
      </c>
      <c r="AN28" s="86">
        <f>IF((COUNTIF(O28,"Deficiency")+COUNTIF(Q28,"Deficiency"))&gt;0,"Deficiency",IF((COUNTIF(O28,"On Hold")+COUNTIF(Q28,"On Hold"))&gt;0,"On Hold",IF((COUNTIF(O28,"In Progress")+COUNTIF(Q28,"In Progress"))&gt;0,"In Progress",IF((COUNTIF(O28,"Not Started")+COUNTIF(Q28,"Not Started"))=2,"Not Started","Complete"))))</f>
        <v/>
      </c>
      <c r="AO28" s="86">
        <f>IF((COUNTIF(S28,"Deficiency")+COUNTIF(U28,"Deficiency")+COUNTIF(W28,"Deficiency")+COUNTIF(Y28,"Deficiency")+COUNTIF(AA28,"Deficiency")+COUNTIF(AC28,"Deficiency")+COUNTIF(AE28,"Deficiency")+COUNTIF(AG28,"Deficiency")+COUNTIF(AI28,"Deficiency"))&gt;0,"Deficiency",IF((COUNTIF(S28,"On Hold")+COUNTIF(U28,"On Hold")+COUNTIF(W28,"On Hold")+COUNTIF(Y28,"On Hold")+COUNTIF(AA28,"On Hold")+COUNTIF(AC28,"On Hold")+COUNTIF(AE28,"On Hold")+COUNTIF(AG28,"On Hold")+COUNTIF(AI28,"On Hold"))&gt;0,"On Hold",IF((COUNTIF(S28,"In Progress")+COUNTIF(U28,"In Progress")+COUNTIF(W28,"In Progress")+COUNTIF(Y28,"In Progress")+COUNTIF(AA28,"In Progress")+COUNTIF(AC28,"In Progress")+COUNTIF(AE28,"In Progress")+COUNTIF(AG28,"In Progress")+COUNTIF(AI28,"In Progress"))&gt;0,"In Progress",IF((COUNTIF(S28,"Not Started")+COUNTIF(U28,"Not Started")+COUNTIF(W28,"Not Started")+COUNTIF(Y28,"Not Started")+COUNTIF(AA28,"Not Started")+COUNTIF(AC28,"Not Started")+COUNTIF(AE28,"Not Started")+COUNTIF(AG28,"Not Started")+COUNTIF(AI28,"Not Started"))=9,"Not Started","Complete"))))</f>
        <v/>
      </c>
      <c r="AP28" s="86">
        <f>AK28</f>
        <v/>
      </c>
      <c r="AQ28" s="86" t="inlineStr"/>
      <c r="AR28" s="86">
        <f>IF((COUNTIF(AM28,"Deficiency")+COUNTIF(AN28,"Deficiency")+COUNTIF(AO28,"Deficiency")+COUNTIF(AP28,"Deficiency"))&gt;0,"Deficiency",IF((COUNTIF(AM28,"On Hold")+COUNTIF(AN28,"On Hold")+COUNTIF(AO28,"On Hold")+COUNTIF(AP28,"On Hold"))&gt;0,"On Hold",IF((COUNTIF(AM28,"In Progress")+COUNTIF(AN28,"In Progress")+COUNTIF(AO28,"In Progress")+COUNTIF(AP28,"In Progress"))&gt;0,"In Progress",IF((COUNTIF(AM28,"Not Started")+COUNTIF(AN28,"Not Started")+COUNTIF(AO28,"Not Started")+COUNTIF(AP28,"Not Started"))=4,"Not Started","Complete"))))</f>
        <v/>
      </c>
      <c r="AS28" s="78" t="n"/>
      <c r="AT28" s="87" t="n"/>
      <c r="AU28" s="78" t="n"/>
      <c r="AV28" s="78" t="n"/>
      <c r="AW28" s="78" t="n"/>
      <c r="AX28" s="78" t="n"/>
    </row>
    <row r="29">
      <c r="A29" s="83" t="n">
        <v>2</v>
      </c>
      <c r="B29" s="83" t="n">
        <v>211</v>
      </c>
      <c r="C29" s="84" t="inlineStr">
        <is>
          <t>Not Started</t>
        </is>
      </c>
      <c r="D29" s="85" t="inlineStr"/>
      <c r="E29" s="84" t="inlineStr">
        <is>
          <t>Not Started</t>
        </is>
      </c>
      <c r="F29" s="85" t="inlineStr"/>
      <c r="G29" s="84" t="inlineStr">
        <is>
          <t>Not Started</t>
        </is>
      </c>
      <c r="H29" s="85" t="inlineStr"/>
      <c r="I29" s="84" t="inlineStr">
        <is>
          <t>Not Started</t>
        </is>
      </c>
      <c r="J29" s="85" t="inlineStr"/>
      <c r="K29" s="84" t="inlineStr">
        <is>
          <t>Not Started</t>
        </is>
      </c>
      <c r="L29" s="85" t="inlineStr"/>
      <c r="M29" s="84" t="inlineStr">
        <is>
          <t>Not Started</t>
        </is>
      </c>
      <c r="N29" s="85" t="inlineStr"/>
      <c r="O29" s="84" t="inlineStr">
        <is>
          <t>Not Started</t>
        </is>
      </c>
      <c r="P29" s="85" t="inlineStr"/>
      <c r="Q29" s="84" t="inlineStr">
        <is>
          <t>Not Started</t>
        </is>
      </c>
      <c r="R29" s="85" t="inlineStr"/>
      <c r="S29" s="84" t="inlineStr">
        <is>
          <t>Not Started</t>
        </is>
      </c>
      <c r="T29" s="85" t="inlineStr"/>
      <c r="U29" s="84" t="inlineStr">
        <is>
          <t>Not Started</t>
        </is>
      </c>
      <c r="V29" s="85" t="inlineStr"/>
      <c r="W29" s="84" t="inlineStr">
        <is>
          <t>Not Started</t>
        </is>
      </c>
      <c r="X29" s="85" t="inlineStr"/>
      <c r="Y29" s="84" t="inlineStr">
        <is>
          <t>Not Started</t>
        </is>
      </c>
      <c r="Z29" s="85" t="inlineStr"/>
      <c r="AA29" s="84" t="inlineStr">
        <is>
          <t>Not Started</t>
        </is>
      </c>
      <c r="AB29" s="85" t="inlineStr"/>
      <c r="AC29" s="84" t="inlineStr">
        <is>
          <t>Not Started</t>
        </is>
      </c>
      <c r="AD29" s="85" t="inlineStr"/>
      <c r="AE29" s="84" t="inlineStr">
        <is>
          <t>Not Started</t>
        </is>
      </c>
      <c r="AF29" s="85" t="inlineStr"/>
      <c r="AG29" s="84" t="inlineStr">
        <is>
          <t>Not Started</t>
        </is>
      </c>
      <c r="AH29" s="85" t="inlineStr"/>
      <c r="AI29" s="84" t="inlineStr">
        <is>
          <t>Not Started</t>
        </is>
      </c>
      <c r="AJ29" s="85" t="inlineStr"/>
      <c r="AK29" s="84" t="inlineStr">
        <is>
          <t>Not Started</t>
        </is>
      </c>
      <c r="AL29" s="85" t="inlineStr"/>
      <c r="AM29" s="86">
        <f>IF((COUNTIF(C29,"Deficiency")+COUNTIF(E29,"Deficiency")+COUNTIF(G29,"Deficiency")+COUNTIF(I29,"Deficiency")+COUNTIF(K29,"Deficiency")+COUNTIF(M29,"Deficiency"))&gt;0,"Deficiency",IF((COUNTIF(C29,"On Hold")+COUNTIF(E29,"On Hold")+COUNTIF(G29,"On Hold")+COUNTIF(I29,"On Hold")+COUNTIF(K29,"On Hold")+COUNTIF(M29,"On Hold"))&gt;0,"On Hold",IF((COUNTIF(C29,"In Progress")+COUNTIF(E29,"In Progress")+COUNTIF(G29,"In Progress")+COUNTIF(I29,"In Progress")+COUNTIF(K29,"In Progress")+COUNTIF(M29,"In Progress"))&gt;0,"In Progress",IF((COUNTIF(C29,"Not Started")+COUNTIF(E29,"Not Started")+COUNTIF(G29,"Not Started")+COUNTIF(I29,"Not Started")+COUNTIF(K29,"Not Started")+COUNTIF(M29,"Not Started"))=6,"Not Started","Complete"))))</f>
        <v/>
      </c>
      <c r="AN29" s="86">
        <f>IF((COUNTIF(O29,"Deficiency")+COUNTIF(Q29,"Deficiency"))&gt;0,"Deficiency",IF((COUNTIF(O29,"On Hold")+COUNTIF(Q29,"On Hold"))&gt;0,"On Hold",IF((COUNTIF(O29,"In Progress")+COUNTIF(Q29,"In Progress"))&gt;0,"In Progress",IF((COUNTIF(O29,"Not Started")+COUNTIF(Q29,"Not Started"))=2,"Not Started","Complete"))))</f>
        <v/>
      </c>
      <c r="AO29" s="86">
        <f>IF((COUNTIF(S29,"Deficiency")+COUNTIF(U29,"Deficiency")+COUNTIF(W29,"Deficiency")+COUNTIF(Y29,"Deficiency")+COUNTIF(AA29,"Deficiency")+COUNTIF(AC29,"Deficiency")+COUNTIF(AE29,"Deficiency")+COUNTIF(AG29,"Deficiency")+COUNTIF(AI29,"Deficiency"))&gt;0,"Deficiency",IF((COUNTIF(S29,"On Hold")+COUNTIF(U29,"On Hold")+COUNTIF(W29,"On Hold")+COUNTIF(Y29,"On Hold")+COUNTIF(AA29,"On Hold")+COUNTIF(AC29,"On Hold")+COUNTIF(AE29,"On Hold")+COUNTIF(AG29,"On Hold")+COUNTIF(AI29,"On Hold"))&gt;0,"On Hold",IF((COUNTIF(S29,"In Progress")+COUNTIF(U29,"In Progress")+COUNTIF(W29,"In Progress")+COUNTIF(Y29,"In Progress")+COUNTIF(AA29,"In Progress")+COUNTIF(AC29,"In Progress")+COUNTIF(AE29,"In Progress")+COUNTIF(AG29,"In Progress")+COUNTIF(AI29,"In Progress"))&gt;0,"In Progress",IF((COUNTIF(S29,"Not Started")+COUNTIF(U29,"Not Started")+COUNTIF(W29,"Not Started")+COUNTIF(Y29,"Not Started")+COUNTIF(AA29,"Not Started")+COUNTIF(AC29,"Not Started")+COUNTIF(AE29,"Not Started")+COUNTIF(AG29,"Not Started")+COUNTIF(AI29,"Not Started"))=9,"Not Started","Complete"))))</f>
        <v/>
      </c>
      <c r="AP29" s="86">
        <f>AK29</f>
        <v/>
      </c>
      <c r="AQ29" s="86" t="inlineStr"/>
      <c r="AR29" s="86">
        <f>IF((COUNTIF(AM29,"Deficiency")+COUNTIF(AN29,"Deficiency")+COUNTIF(AO29,"Deficiency")+COUNTIF(AP29,"Deficiency"))&gt;0,"Deficiency",IF((COUNTIF(AM29,"On Hold")+COUNTIF(AN29,"On Hold")+COUNTIF(AO29,"On Hold")+COUNTIF(AP29,"On Hold"))&gt;0,"On Hold",IF((COUNTIF(AM29,"In Progress")+COUNTIF(AN29,"In Progress")+COUNTIF(AO29,"In Progress")+COUNTIF(AP29,"In Progress"))&gt;0,"In Progress",IF((COUNTIF(AM29,"Not Started")+COUNTIF(AN29,"Not Started")+COUNTIF(AO29,"Not Started")+COUNTIF(AP29,"Not Started"))=4,"Not Started","Complete"))))</f>
        <v/>
      </c>
      <c r="AS29" s="78" t="n"/>
      <c r="AT29" s="87" t="n"/>
      <c r="AU29" s="78" t="n"/>
      <c r="AV29" s="78" t="n"/>
      <c r="AW29" s="78" t="n"/>
      <c r="AX29" s="78" t="n"/>
    </row>
    <row r="30">
      <c r="A30" s="83" t="n">
        <v>2</v>
      </c>
      <c r="B30" s="83" t="n">
        <v>212</v>
      </c>
      <c r="C30" s="84" t="inlineStr">
        <is>
          <t>Not Started</t>
        </is>
      </c>
      <c r="D30" s="85" t="inlineStr"/>
      <c r="E30" s="84" t="inlineStr">
        <is>
          <t>Not Started</t>
        </is>
      </c>
      <c r="F30" s="85" t="inlineStr"/>
      <c r="G30" s="84" t="inlineStr">
        <is>
          <t>Not Started</t>
        </is>
      </c>
      <c r="H30" s="85" t="inlineStr"/>
      <c r="I30" s="84" t="inlineStr">
        <is>
          <t>Not Started</t>
        </is>
      </c>
      <c r="J30" s="85" t="inlineStr"/>
      <c r="K30" s="84" t="inlineStr">
        <is>
          <t>Not Started</t>
        </is>
      </c>
      <c r="L30" s="85" t="inlineStr"/>
      <c r="M30" s="84" t="inlineStr">
        <is>
          <t>Not Started</t>
        </is>
      </c>
      <c r="N30" s="85" t="inlineStr"/>
      <c r="O30" s="84" t="inlineStr">
        <is>
          <t>Not Started</t>
        </is>
      </c>
      <c r="P30" s="85" t="inlineStr"/>
      <c r="Q30" s="84" t="inlineStr">
        <is>
          <t>Not Started</t>
        </is>
      </c>
      <c r="R30" s="85" t="inlineStr"/>
      <c r="S30" s="84" t="inlineStr">
        <is>
          <t>Not Started</t>
        </is>
      </c>
      <c r="T30" s="85" t="inlineStr"/>
      <c r="U30" s="84" t="inlineStr">
        <is>
          <t>Not Started</t>
        </is>
      </c>
      <c r="V30" s="85" t="inlineStr"/>
      <c r="W30" s="84" t="inlineStr">
        <is>
          <t>Not Started</t>
        </is>
      </c>
      <c r="X30" s="85" t="inlineStr"/>
      <c r="Y30" s="84" t="inlineStr">
        <is>
          <t>Not Started</t>
        </is>
      </c>
      <c r="Z30" s="85" t="inlineStr"/>
      <c r="AA30" s="84" t="inlineStr">
        <is>
          <t>Not Started</t>
        </is>
      </c>
      <c r="AB30" s="85" t="inlineStr"/>
      <c r="AC30" s="84" t="inlineStr">
        <is>
          <t>Not Started</t>
        </is>
      </c>
      <c r="AD30" s="85" t="inlineStr"/>
      <c r="AE30" s="84" t="inlineStr">
        <is>
          <t>Not Started</t>
        </is>
      </c>
      <c r="AF30" s="85" t="inlineStr"/>
      <c r="AG30" s="84" t="inlineStr">
        <is>
          <t>Not Started</t>
        </is>
      </c>
      <c r="AH30" s="85" t="inlineStr"/>
      <c r="AI30" s="84" t="inlineStr">
        <is>
          <t>Not Started</t>
        </is>
      </c>
      <c r="AJ30" s="85" t="inlineStr"/>
      <c r="AK30" s="84" t="inlineStr">
        <is>
          <t>Not Started</t>
        </is>
      </c>
      <c r="AL30" s="85" t="inlineStr"/>
      <c r="AM30" s="86">
        <f>IF((COUNTIF(C30,"Deficiency")+COUNTIF(E30,"Deficiency")+COUNTIF(G30,"Deficiency")+COUNTIF(I30,"Deficiency")+COUNTIF(K30,"Deficiency")+COUNTIF(M30,"Deficiency"))&gt;0,"Deficiency",IF((COUNTIF(C30,"On Hold")+COUNTIF(E30,"On Hold")+COUNTIF(G30,"On Hold")+COUNTIF(I30,"On Hold")+COUNTIF(K30,"On Hold")+COUNTIF(M30,"On Hold"))&gt;0,"On Hold",IF((COUNTIF(C30,"In Progress")+COUNTIF(E30,"In Progress")+COUNTIF(G30,"In Progress")+COUNTIF(I30,"In Progress")+COUNTIF(K30,"In Progress")+COUNTIF(M30,"In Progress"))&gt;0,"In Progress",IF((COUNTIF(C30,"Not Started")+COUNTIF(E30,"Not Started")+COUNTIF(G30,"Not Started")+COUNTIF(I30,"Not Started")+COUNTIF(K30,"Not Started")+COUNTIF(M30,"Not Started"))=6,"Not Started","Complete"))))</f>
        <v/>
      </c>
      <c r="AN30" s="86">
        <f>IF((COUNTIF(O30,"Deficiency")+COUNTIF(Q30,"Deficiency"))&gt;0,"Deficiency",IF((COUNTIF(O30,"On Hold")+COUNTIF(Q30,"On Hold"))&gt;0,"On Hold",IF((COUNTIF(O30,"In Progress")+COUNTIF(Q30,"In Progress"))&gt;0,"In Progress",IF((COUNTIF(O30,"Not Started")+COUNTIF(Q30,"Not Started"))=2,"Not Started","Complete"))))</f>
        <v/>
      </c>
      <c r="AO30" s="86">
        <f>IF((COUNTIF(S30,"Deficiency")+COUNTIF(U30,"Deficiency")+COUNTIF(W30,"Deficiency")+COUNTIF(Y30,"Deficiency")+COUNTIF(AA30,"Deficiency")+COUNTIF(AC30,"Deficiency")+COUNTIF(AE30,"Deficiency")+COUNTIF(AG30,"Deficiency")+COUNTIF(AI30,"Deficiency"))&gt;0,"Deficiency",IF((COUNTIF(S30,"On Hold")+COUNTIF(U30,"On Hold")+COUNTIF(W30,"On Hold")+COUNTIF(Y30,"On Hold")+COUNTIF(AA30,"On Hold")+COUNTIF(AC30,"On Hold")+COUNTIF(AE30,"On Hold")+COUNTIF(AG30,"On Hold")+COUNTIF(AI30,"On Hold"))&gt;0,"On Hold",IF((COUNTIF(S30,"In Progress")+COUNTIF(U30,"In Progress")+COUNTIF(W30,"In Progress")+COUNTIF(Y30,"In Progress")+COUNTIF(AA30,"In Progress")+COUNTIF(AC30,"In Progress")+COUNTIF(AE30,"In Progress")+COUNTIF(AG30,"In Progress")+COUNTIF(AI30,"In Progress"))&gt;0,"In Progress",IF((COUNTIF(S30,"Not Started")+COUNTIF(U30,"Not Started")+COUNTIF(W30,"Not Started")+COUNTIF(Y30,"Not Started")+COUNTIF(AA30,"Not Started")+COUNTIF(AC30,"Not Started")+COUNTIF(AE30,"Not Started")+COUNTIF(AG30,"Not Started")+COUNTIF(AI30,"Not Started"))=9,"Not Started","Complete"))))</f>
        <v/>
      </c>
      <c r="AP30" s="86">
        <f>AK30</f>
        <v/>
      </c>
      <c r="AQ30" s="86" t="inlineStr"/>
      <c r="AR30" s="86">
        <f>IF((COUNTIF(AM30,"Deficiency")+COUNTIF(AN30,"Deficiency")+COUNTIF(AO30,"Deficiency")+COUNTIF(AP30,"Deficiency"))&gt;0,"Deficiency",IF((COUNTIF(AM30,"On Hold")+COUNTIF(AN30,"On Hold")+COUNTIF(AO30,"On Hold")+COUNTIF(AP30,"On Hold"))&gt;0,"On Hold",IF((COUNTIF(AM30,"In Progress")+COUNTIF(AN30,"In Progress")+COUNTIF(AO30,"In Progress")+COUNTIF(AP30,"In Progress"))&gt;0,"In Progress",IF((COUNTIF(AM30,"Not Started")+COUNTIF(AN30,"Not Started")+COUNTIF(AO30,"Not Started")+COUNTIF(AP30,"Not Started"))=4,"Not Started","Complete"))))</f>
        <v/>
      </c>
      <c r="AS30" s="78" t="n"/>
      <c r="AT30" s="87" t="n"/>
      <c r="AU30" s="78" t="n"/>
      <c r="AV30" s="78" t="n"/>
      <c r="AW30" s="78" t="n"/>
      <c r="AX30" s="78" t="n"/>
    </row>
    <row r="31">
      <c r="A31" s="83" t="n">
        <v>3</v>
      </c>
      <c r="B31" s="83" t="n">
        <v>301</v>
      </c>
      <c r="C31" s="84" t="inlineStr">
        <is>
          <t>Not Started</t>
        </is>
      </c>
      <c r="D31" s="85" t="inlineStr"/>
      <c r="E31" s="84" t="inlineStr">
        <is>
          <t>Not Started</t>
        </is>
      </c>
      <c r="F31" s="85" t="inlineStr"/>
      <c r="G31" s="84" t="inlineStr">
        <is>
          <t>Not Started</t>
        </is>
      </c>
      <c r="H31" s="85" t="inlineStr"/>
      <c r="I31" s="84" t="inlineStr">
        <is>
          <t>Not Started</t>
        </is>
      </c>
      <c r="J31" s="85" t="inlineStr"/>
      <c r="K31" s="84" t="inlineStr">
        <is>
          <t>Not Started</t>
        </is>
      </c>
      <c r="L31" s="85" t="inlineStr"/>
      <c r="M31" s="84" t="inlineStr">
        <is>
          <t>Not Started</t>
        </is>
      </c>
      <c r="N31" s="85" t="inlineStr"/>
      <c r="O31" s="84" t="inlineStr">
        <is>
          <t>Not Started</t>
        </is>
      </c>
      <c r="P31" s="85" t="inlineStr"/>
      <c r="Q31" s="84" t="inlineStr">
        <is>
          <t>Not Started</t>
        </is>
      </c>
      <c r="R31" s="85" t="inlineStr"/>
      <c r="S31" s="84" t="inlineStr">
        <is>
          <t>Not Started</t>
        </is>
      </c>
      <c r="T31" s="85" t="inlineStr"/>
      <c r="U31" s="84" t="inlineStr">
        <is>
          <t>Not Started</t>
        </is>
      </c>
      <c r="V31" s="85" t="inlineStr"/>
      <c r="W31" s="84" t="inlineStr">
        <is>
          <t>Not Started</t>
        </is>
      </c>
      <c r="X31" s="85" t="inlineStr"/>
      <c r="Y31" s="84" t="inlineStr">
        <is>
          <t>Not Started</t>
        </is>
      </c>
      <c r="Z31" s="85" t="inlineStr"/>
      <c r="AA31" s="84" t="inlineStr">
        <is>
          <t>Not Started</t>
        </is>
      </c>
      <c r="AB31" s="85" t="inlineStr"/>
      <c r="AC31" s="84" t="inlineStr">
        <is>
          <t>Not Started</t>
        </is>
      </c>
      <c r="AD31" s="85" t="inlineStr"/>
      <c r="AE31" s="84" t="inlineStr">
        <is>
          <t>Not Started</t>
        </is>
      </c>
      <c r="AF31" s="85" t="inlineStr"/>
      <c r="AG31" s="84" t="inlineStr">
        <is>
          <t>Not Started</t>
        </is>
      </c>
      <c r="AH31" s="85" t="inlineStr"/>
      <c r="AI31" s="84" t="inlineStr">
        <is>
          <t>Not Started</t>
        </is>
      </c>
      <c r="AJ31" s="85" t="inlineStr"/>
      <c r="AK31" s="84" t="inlineStr">
        <is>
          <t>Not Started</t>
        </is>
      </c>
      <c r="AL31" s="85" t="inlineStr"/>
      <c r="AM31" s="86">
        <f>IF((COUNTIF(C31,"Deficiency")+COUNTIF(E31,"Deficiency")+COUNTIF(G31,"Deficiency")+COUNTIF(I31,"Deficiency")+COUNTIF(K31,"Deficiency")+COUNTIF(M31,"Deficiency"))&gt;0,"Deficiency",IF((COUNTIF(C31,"On Hold")+COUNTIF(E31,"On Hold")+COUNTIF(G31,"On Hold")+COUNTIF(I31,"On Hold")+COUNTIF(K31,"On Hold")+COUNTIF(M31,"On Hold"))&gt;0,"On Hold",IF((COUNTIF(C31,"In Progress")+COUNTIF(E31,"In Progress")+COUNTIF(G31,"In Progress")+COUNTIF(I31,"In Progress")+COUNTIF(K31,"In Progress")+COUNTIF(M31,"In Progress"))&gt;0,"In Progress",IF((COUNTIF(C31,"Not Started")+COUNTIF(E31,"Not Started")+COUNTIF(G31,"Not Started")+COUNTIF(I31,"Not Started")+COUNTIF(K31,"Not Started")+COUNTIF(M31,"Not Started"))=6,"Not Started","Complete"))))</f>
        <v/>
      </c>
      <c r="AN31" s="86">
        <f>IF((COUNTIF(O31,"Deficiency")+COUNTIF(Q31,"Deficiency"))&gt;0,"Deficiency",IF((COUNTIF(O31,"On Hold")+COUNTIF(Q31,"On Hold"))&gt;0,"On Hold",IF((COUNTIF(O31,"In Progress")+COUNTIF(Q31,"In Progress"))&gt;0,"In Progress",IF((COUNTIF(O31,"Not Started")+COUNTIF(Q31,"Not Started"))=2,"Not Started","Complete"))))</f>
        <v/>
      </c>
      <c r="AO31" s="86">
        <f>IF((COUNTIF(S31,"Deficiency")+COUNTIF(U31,"Deficiency")+COUNTIF(W31,"Deficiency")+COUNTIF(Y31,"Deficiency")+COUNTIF(AA31,"Deficiency")+COUNTIF(AC31,"Deficiency")+COUNTIF(AE31,"Deficiency")+COUNTIF(AG31,"Deficiency")+COUNTIF(AI31,"Deficiency"))&gt;0,"Deficiency",IF((COUNTIF(S31,"On Hold")+COUNTIF(U31,"On Hold")+COUNTIF(W31,"On Hold")+COUNTIF(Y31,"On Hold")+COUNTIF(AA31,"On Hold")+COUNTIF(AC31,"On Hold")+COUNTIF(AE31,"On Hold")+COUNTIF(AG31,"On Hold")+COUNTIF(AI31,"On Hold"))&gt;0,"On Hold",IF((COUNTIF(S31,"In Progress")+COUNTIF(U31,"In Progress")+COUNTIF(W31,"In Progress")+COUNTIF(Y31,"In Progress")+COUNTIF(AA31,"In Progress")+COUNTIF(AC31,"In Progress")+COUNTIF(AE31,"In Progress")+COUNTIF(AG31,"In Progress")+COUNTIF(AI31,"In Progress"))&gt;0,"In Progress",IF((COUNTIF(S31,"Not Started")+COUNTIF(U31,"Not Started")+COUNTIF(W31,"Not Started")+COUNTIF(Y31,"Not Started")+COUNTIF(AA31,"Not Started")+COUNTIF(AC31,"Not Started")+COUNTIF(AE31,"Not Started")+COUNTIF(AG31,"Not Started")+COUNTIF(AI31,"Not Started"))=9,"Not Started","Complete"))))</f>
        <v/>
      </c>
      <c r="AP31" s="86">
        <f>AK31</f>
        <v/>
      </c>
      <c r="AQ31" s="86" t="inlineStr"/>
      <c r="AR31" s="86">
        <f>IF((COUNTIF(AM31,"Deficiency")+COUNTIF(AN31,"Deficiency")+COUNTIF(AO31,"Deficiency")+COUNTIF(AP31,"Deficiency"))&gt;0,"Deficiency",IF((COUNTIF(AM31,"On Hold")+COUNTIF(AN31,"On Hold")+COUNTIF(AO31,"On Hold")+COUNTIF(AP31,"On Hold"))&gt;0,"On Hold",IF((COUNTIF(AM31,"In Progress")+COUNTIF(AN31,"In Progress")+COUNTIF(AO31,"In Progress")+COUNTIF(AP31,"In Progress"))&gt;0,"In Progress",IF((COUNTIF(AM31,"Not Started")+COUNTIF(AN31,"Not Started")+COUNTIF(AO31,"Not Started")+COUNTIF(AP31,"Not Started"))=4,"Not Started","Complete"))))</f>
        <v/>
      </c>
      <c r="AS31" s="78" t="n"/>
      <c r="AT31" s="87" t="n"/>
      <c r="AU31" s="78" t="n"/>
      <c r="AV31" s="78" t="n"/>
      <c r="AW31" s="78" t="n"/>
      <c r="AX31" s="78" t="n"/>
    </row>
    <row r="32">
      <c r="A32" s="83" t="n">
        <v>3</v>
      </c>
      <c r="B32" s="83" t="n">
        <v>302</v>
      </c>
      <c r="C32" s="84" t="inlineStr">
        <is>
          <t>Not Started</t>
        </is>
      </c>
      <c r="D32" s="85" t="inlineStr"/>
      <c r="E32" s="84" t="inlineStr">
        <is>
          <t>Not Started</t>
        </is>
      </c>
      <c r="F32" s="85" t="inlineStr"/>
      <c r="G32" s="84" t="inlineStr">
        <is>
          <t>Not Started</t>
        </is>
      </c>
      <c r="H32" s="85" t="inlineStr"/>
      <c r="I32" s="84" t="inlineStr">
        <is>
          <t>Not Started</t>
        </is>
      </c>
      <c r="J32" s="85" t="inlineStr"/>
      <c r="K32" s="84" t="inlineStr">
        <is>
          <t>Not Started</t>
        </is>
      </c>
      <c r="L32" s="85" t="inlineStr"/>
      <c r="M32" s="84" t="inlineStr">
        <is>
          <t>Not Started</t>
        </is>
      </c>
      <c r="N32" s="85" t="inlineStr"/>
      <c r="O32" s="84" t="inlineStr">
        <is>
          <t>Not Started</t>
        </is>
      </c>
      <c r="P32" s="85" t="inlineStr"/>
      <c r="Q32" s="84" t="inlineStr">
        <is>
          <t>Not Started</t>
        </is>
      </c>
      <c r="R32" s="85" t="inlineStr"/>
      <c r="S32" s="84" t="inlineStr">
        <is>
          <t>Not Started</t>
        </is>
      </c>
      <c r="T32" s="85" t="inlineStr"/>
      <c r="U32" s="84" t="inlineStr">
        <is>
          <t>Not Started</t>
        </is>
      </c>
      <c r="V32" s="85" t="inlineStr"/>
      <c r="W32" s="84" t="inlineStr">
        <is>
          <t>Not Started</t>
        </is>
      </c>
      <c r="X32" s="85" t="inlineStr"/>
      <c r="Y32" s="84" t="inlineStr">
        <is>
          <t>Not Started</t>
        </is>
      </c>
      <c r="Z32" s="85" t="inlineStr"/>
      <c r="AA32" s="84" t="inlineStr">
        <is>
          <t>Not Started</t>
        </is>
      </c>
      <c r="AB32" s="85" t="inlineStr"/>
      <c r="AC32" s="84" t="inlineStr">
        <is>
          <t>Not Started</t>
        </is>
      </c>
      <c r="AD32" s="85" t="inlineStr"/>
      <c r="AE32" s="84" t="inlineStr">
        <is>
          <t>Not Started</t>
        </is>
      </c>
      <c r="AF32" s="85" t="inlineStr"/>
      <c r="AG32" s="84" t="inlineStr">
        <is>
          <t>Not Started</t>
        </is>
      </c>
      <c r="AH32" s="85" t="inlineStr"/>
      <c r="AI32" s="84" t="inlineStr">
        <is>
          <t>Not Started</t>
        </is>
      </c>
      <c r="AJ32" s="85" t="inlineStr"/>
      <c r="AK32" s="84" t="inlineStr">
        <is>
          <t>Not Started</t>
        </is>
      </c>
      <c r="AL32" s="85" t="inlineStr"/>
      <c r="AM32" s="86">
        <f>IF((COUNTIF(C32,"Deficiency")+COUNTIF(E32,"Deficiency")+COUNTIF(G32,"Deficiency")+COUNTIF(I32,"Deficiency")+COUNTIF(K32,"Deficiency")+COUNTIF(M32,"Deficiency"))&gt;0,"Deficiency",IF((COUNTIF(C32,"On Hold")+COUNTIF(E32,"On Hold")+COUNTIF(G32,"On Hold")+COUNTIF(I32,"On Hold")+COUNTIF(K32,"On Hold")+COUNTIF(M32,"On Hold"))&gt;0,"On Hold",IF((COUNTIF(C32,"In Progress")+COUNTIF(E32,"In Progress")+COUNTIF(G32,"In Progress")+COUNTIF(I32,"In Progress")+COUNTIF(K32,"In Progress")+COUNTIF(M32,"In Progress"))&gt;0,"In Progress",IF((COUNTIF(C32,"Not Started")+COUNTIF(E32,"Not Started")+COUNTIF(G32,"Not Started")+COUNTIF(I32,"Not Started")+COUNTIF(K32,"Not Started")+COUNTIF(M32,"Not Started"))=6,"Not Started","Complete"))))</f>
        <v/>
      </c>
      <c r="AN32" s="86">
        <f>IF((COUNTIF(O32,"Deficiency")+COUNTIF(Q32,"Deficiency"))&gt;0,"Deficiency",IF((COUNTIF(O32,"On Hold")+COUNTIF(Q32,"On Hold"))&gt;0,"On Hold",IF((COUNTIF(O32,"In Progress")+COUNTIF(Q32,"In Progress"))&gt;0,"In Progress",IF((COUNTIF(O32,"Not Started")+COUNTIF(Q32,"Not Started"))=2,"Not Started","Complete"))))</f>
        <v/>
      </c>
      <c r="AO32" s="86">
        <f>IF((COUNTIF(S32,"Deficiency")+COUNTIF(U32,"Deficiency")+COUNTIF(W32,"Deficiency")+COUNTIF(Y32,"Deficiency")+COUNTIF(AA32,"Deficiency")+COUNTIF(AC32,"Deficiency")+COUNTIF(AE32,"Deficiency")+COUNTIF(AG32,"Deficiency")+COUNTIF(AI32,"Deficiency"))&gt;0,"Deficiency",IF((COUNTIF(S32,"On Hold")+COUNTIF(U32,"On Hold")+COUNTIF(W32,"On Hold")+COUNTIF(Y32,"On Hold")+COUNTIF(AA32,"On Hold")+COUNTIF(AC32,"On Hold")+COUNTIF(AE32,"On Hold")+COUNTIF(AG32,"On Hold")+COUNTIF(AI32,"On Hold"))&gt;0,"On Hold",IF((COUNTIF(S32,"In Progress")+COUNTIF(U32,"In Progress")+COUNTIF(W32,"In Progress")+COUNTIF(Y32,"In Progress")+COUNTIF(AA32,"In Progress")+COUNTIF(AC32,"In Progress")+COUNTIF(AE32,"In Progress")+COUNTIF(AG32,"In Progress")+COUNTIF(AI32,"In Progress"))&gt;0,"In Progress",IF((COUNTIF(S32,"Not Started")+COUNTIF(U32,"Not Started")+COUNTIF(W32,"Not Started")+COUNTIF(Y32,"Not Started")+COUNTIF(AA32,"Not Started")+COUNTIF(AC32,"Not Started")+COUNTIF(AE32,"Not Started")+COUNTIF(AG32,"Not Started")+COUNTIF(AI32,"Not Started"))=9,"Not Started","Complete"))))</f>
        <v/>
      </c>
      <c r="AP32" s="86">
        <f>AK32</f>
        <v/>
      </c>
      <c r="AQ32" s="86" t="inlineStr"/>
      <c r="AR32" s="86">
        <f>IF((COUNTIF(AM32,"Deficiency")+COUNTIF(AN32,"Deficiency")+COUNTIF(AO32,"Deficiency")+COUNTIF(AP32,"Deficiency"))&gt;0,"Deficiency",IF((COUNTIF(AM32,"On Hold")+COUNTIF(AN32,"On Hold")+COUNTIF(AO32,"On Hold")+COUNTIF(AP32,"On Hold"))&gt;0,"On Hold",IF((COUNTIF(AM32,"In Progress")+COUNTIF(AN32,"In Progress")+COUNTIF(AO32,"In Progress")+COUNTIF(AP32,"In Progress"))&gt;0,"In Progress",IF((COUNTIF(AM32,"Not Started")+COUNTIF(AN32,"Not Started")+COUNTIF(AO32,"Not Started")+COUNTIF(AP32,"Not Started"))=4,"Not Started","Complete"))))</f>
        <v/>
      </c>
      <c r="AS32" s="78" t="n"/>
      <c r="AT32" s="87" t="n"/>
      <c r="AU32" s="78" t="n"/>
      <c r="AV32" s="78" t="n"/>
      <c r="AW32" s="78" t="n"/>
      <c r="AX32" s="78" t="n"/>
    </row>
    <row r="33">
      <c r="A33" s="83" t="n">
        <v>3</v>
      </c>
      <c r="B33" s="83" t="n">
        <v>303</v>
      </c>
      <c r="C33" s="84" t="inlineStr">
        <is>
          <t>Not Started</t>
        </is>
      </c>
      <c r="D33" s="85" t="inlineStr"/>
      <c r="E33" s="84" t="inlineStr">
        <is>
          <t>Not Started</t>
        </is>
      </c>
      <c r="F33" s="85" t="inlineStr"/>
      <c r="G33" s="84" t="inlineStr">
        <is>
          <t>Not Started</t>
        </is>
      </c>
      <c r="H33" s="85" t="inlineStr"/>
      <c r="I33" s="84" t="inlineStr">
        <is>
          <t>Not Started</t>
        </is>
      </c>
      <c r="J33" s="85" t="inlineStr"/>
      <c r="K33" s="84" t="inlineStr">
        <is>
          <t>Not Started</t>
        </is>
      </c>
      <c r="L33" s="85" t="inlineStr"/>
      <c r="M33" s="84" t="inlineStr">
        <is>
          <t>Not Started</t>
        </is>
      </c>
      <c r="N33" s="85" t="inlineStr"/>
      <c r="O33" s="84" t="inlineStr">
        <is>
          <t>Not Started</t>
        </is>
      </c>
      <c r="P33" s="85" t="inlineStr"/>
      <c r="Q33" s="84" t="inlineStr">
        <is>
          <t>Not Started</t>
        </is>
      </c>
      <c r="R33" s="85" t="inlineStr"/>
      <c r="S33" s="84" t="inlineStr">
        <is>
          <t>Not Started</t>
        </is>
      </c>
      <c r="T33" s="85" t="inlineStr"/>
      <c r="U33" s="84" t="inlineStr">
        <is>
          <t>Not Started</t>
        </is>
      </c>
      <c r="V33" s="85" t="inlineStr"/>
      <c r="W33" s="84" t="inlineStr">
        <is>
          <t>Not Started</t>
        </is>
      </c>
      <c r="X33" s="85" t="inlineStr"/>
      <c r="Y33" s="84" t="inlineStr">
        <is>
          <t>Not Started</t>
        </is>
      </c>
      <c r="Z33" s="85" t="inlineStr"/>
      <c r="AA33" s="84" t="inlineStr">
        <is>
          <t>Not Started</t>
        </is>
      </c>
      <c r="AB33" s="85" t="inlineStr"/>
      <c r="AC33" s="84" t="inlineStr">
        <is>
          <t>Not Started</t>
        </is>
      </c>
      <c r="AD33" s="85" t="inlineStr"/>
      <c r="AE33" s="84" t="inlineStr">
        <is>
          <t>Not Started</t>
        </is>
      </c>
      <c r="AF33" s="85" t="inlineStr"/>
      <c r="AG33" s="84" t="inlineStr">
        <is>
          <t>Not Started</t>
        </is>
      </c>
      <c r="AH33" s="85" t="inlineStr"/>
      <c r="AI33" s="84" t="inlineStr">
        <is>
          <t>Not Started</t>
        </is>
      </c>
      <c r="AJ33" s="85" t="inlineStr"/>
      <c r="AK33" s="84" t="inlineStr">
        <is>
          <t>Not Started</t>
        </is>
      </c>
      <c r="AL33" s="85" t="inlineStr"/>
      <c r="AM33" s="86">
        <f>IF((COUNTIF(C33,"Deficiency")+COUNTIF(E33,"Deficiency")+COUNTIF(G33,"Deficiency")+COUNTIF(I33,"Deficiency")+COUNTIF(K33,"Deficiency")+COUNTIF(M33,"Deficiency"))&gt;0,"Deficiency",IF((COUNTIF(C33,"On Hold")+COUNTIF(E33,"On Hold")+COUNTIF(G33,"On Hold")+COUNTIF(I33,"On Hold")+COUNTIF(K33,"On Hold")+COUNTIF(M33,"On Hold"))&gt;0,"On Hold",IF((COUNTIF(C33,"In Progress")+COUNTIF(E33,"In Progress")+COUNTIF(G33,"In Progress")+COUNTIF(I33,"In Progress")+COUNTIF(K33,"In Progress")+COUNTIF(M33,"In Progress"))&gt;0,"In Progress",IF((COUNTIF(C33,"Not Started")+COUNTIF(E33,"Not Started")+COUNTIF(G33,"Not Started")+COUNTIF(I33,"Not Started")+COUNTIF(K33,"Not Started")+COUNTIF(M33,"Not Started"))=6,"Not Started","Complete"))))</f>
        <v/>
      </c>
      <c r="AN33" s="86">
        <f>IF((COUNTIF(O33,"Deficiency")+COUNTIF(Q33,"Deficiency"))&gt;0,"Deficiency",IF((COUNTIF(O33,"On Hold")+COUNTIF(Q33,"On Hold"))&gt;0,"On Hold",IF((COUNTIF(O33,"In Progress")+COUNTIF(Q33,"In Progress"))&gt;0,"In Progress",IF((COUNTIF(O33,"Not Started")+COUNTIF(Q33,"Not Started"))=2,"Not Started","Complete"))))</f>
        <v/>
      </c>
      <c r="AO33" s="86">
        <f>IF((COUNTIF(S33,"Deficiency")+COUNTIF(U33,"Deficiency")+COUNTIF(W33,"Deficiency")+COUNTIF(Y33,"Deficiency")+COUNTIF(AA33,"Deficiency")+COUNTIF(AC33,"Deficiency")+COUNTIF(AE33,"Deficiency")+COUNTIF(AG33,"Deficiency")+COUNTIF(AI33,"Deficiency"))&gt;0,"Deficiency",IF((COUNTIF(S33,"On Hold")+COUNTIF(U33,"On Hold")+COUNTIF(W33,"On Hold")+COUNTIF(Y33,"On Hold")+COUNTIF(AA33,"On Hold")+COUNTIF(AC33,"On Hold")+COUNTIF(AE33,"On Hold")+COUNTIF(AG33,"On Hold")+COUNTIF(AI33,"On Hold"))&gt;0,"On Hold",IF((COUNTIF(S33,"In Progress")+COUNTIF(U33,"In Progress")+COUNTIF(W33,"In Progress")+COUNTIF(Y33,"In Progress")+COUNTIF(AA33,"In Progress")+COUNTIF(AC33,"In Progress")+COUNTIF(AE33,"In Progress")+COUNTIF(AG33,"In Progress")+COUNTIF(AI33,"In Progress"))&gt;0,"In Progress",IF((COUNTIF(S33,"Not Started")+COUNTIF(U33,"Not Started")+COUNTIF(W33,"Not Started")+COUNTIF(Y33,"Not Started")+COUNTIF(AA33,"Not Started")+COUNTIF(AC33,"Not Started")+COUNTIF(AE33,"Not Started")+COUNTIF(AG33,"Not Started")+COUNTIF(AI33,"Not Started"))=9,"Not Started","Complete"))))</f>
        <v/>
      </c>
      <c r="AP33" s="86">
        <f>AK33</f>
        <v/>
      </c>
      <c r="AQ33" s="86" t="inlineStr"/>
      <c r="AR33" s="86">
        <f>IF((COUNTIF(AM33,"Deficiency")+COUNTIF(AN33,"Deficiency")+COUNTIF(AO33,"Deficiency")+COUNTIF(AP33,"Deficiency"))&gt;0,"Deficiency",IF((COUNTIF(AM33,"On Hold")+COUNTIF(AN33,"On Hold")+COUNTIF(AO33,"On Hold")+COUNTIF(AP33,"On Hold"))&gt;0,"On Hold",IF((COUNTIF(AM33,"In Progress")+COUNTIF(AN33,"In Progress")+COUNTIF(AO33,"In Progress")+COUNTIF(AP33,"In Progress"))&gt;0,"In Progress",IF((COUNTIF(AM33,"Not Started")+COUNTIF(AN33,"Not Started")+COUNTIF(AO33,"Not Started")+COUNTIF(AP33,"Not Started"))=4,"Not Started","Complete"))))</f>
        <v/>
      </c>
      <c r="AS33" s="78" t="n"/>
      <c r="AT33" s="87" t="n"/>
      <c r="AU33" s="78" t="n"/>
      <c r="AV33" s="78" t="n"/>
      <c r="AW33" s="78" t="n"/>
      <c r="AX33" s="78" t="n"/>
    </row>
    <row r="34">
      <c r="A34" s="83" t="n">
        <v>3</v>
      </c>
      <c r="B34" s="83" t="n">
        <v>304</v>
      </c>
      <c r="C34" s="84" t="inlineStr">
        <is>
          <t>Not Started</t>
        </is>
      </c>
      <c r="D34" s="85" t="inlineStr"/>
      <c r="E34" s="84" t="inlineStr">
        <is>
          <t>Not Started</t>
        </is>
      </c>
      <c r="F34" s="85" t="inlineStr"/>
      <c r="G34" s="84" t="inlineStr">
        <is>
          <t>Not Started</t>
        </is>
      </c>
      <c r="H34" s="85" t="inlineStr"/>
      <c r="I34" s="84" t="inlineStr">
        <is>
          <t>Not Started</t>
        </is>
      </c>
      <c r="J34" s="85" t="inlineStr"/>
      <c r="K34" s="84" t="inlineStr">
        <is>
          <t>Not Started</t>
        </is>
      </c>
      <c r="L34" s="85" t="inlineStr"/>
      <c r="M34" s="84" t="inlineStr">
        <is>
          <t>Not Started</t>
        </is>
      </c>
      <c r="N34" s="85" t="inlineStr"/>
      <c r="O34" s="84" t="inlineStr">
        <is>
          <t>Not Started</t>
        </is>
      </c>
      <c r="P34" s="85" t="inlineStr"/>
      <c r="Q34" s="84" t="inlineStr">
        <is>
          <t>Not Started</t>
        </is>
      </c>
      <c r="R34" s="85" t="inlineStr"/>
      <c r="S34" s="84" t="inlineStr">
        <is>
          <t>Not Started</t>
        </is>
      </c>
      <c r="T34" s="85" t="inlineStr"/>
      <c r="U34" s="84" t="inlineStr">
        <is>
          <t>Not Started</t>
        </is>
      </c>
      <c r="V34" s="85" t="inlineStr"/>
      <c r="W34" s="84" t="inlineStr">
        <is>
          <t>Not Started</t>
        </is>
      </c>
      <c r="X34" s="85" t="inlineStr"/>
      <c r="Y34" s="84" t="inlineStr">
        <is>
          <t>Not Started</t>
        </is>
      </c>
      <c r="Z34" s="85" t="inlineStr"/>
      <c r="AA34" s="84" t="inlineStr">
        <is>
          <t>Not Started</t>
        </is>
      </c>
      <c r="AB34" s="85" t="inlineStr"/>
      <c r="AC34" s="84" t="inlineStr">
        <is>
          <t>Not Started</t>
        </is>
      </c>
      <c r="AD34" s="85" t="inlineStr"/>
      <c r="AE34" s="84" t="inlineStr">
        <is>
          <t>Not Started</t>
        </is>
      </c>
      <c r="AF34" s="85" t="inlineStr"/>
      <c r="AG34" s="84" t="inlineStr">
        <is>
          <t>Not Started</t>
        </is>
      </c>
      <c r="AH34" s="85" t="inlineStr"/>
      <c r="AI34" s="84" t="inlineStr">
        <is>
          <t>Not Started</t>
        </is>
      </c>
      <c r="AJ34" s="85" t="inlineStr"/>
      <c r="AK34" s="84" t="inlineStr">
        <is>
          <t>Not Started</t>
        </is>
      </c>
      <c r="AL34" s="85" t="inlineStr"/>
      <c r="AM34" s="86">
        <f>IF((COUNTIF(C34,"Deficiency")+COUNTIF(E34,"Deficiency")+COUNTIF(G34,"Deficiency")+COUNTIF(I34,"Deficiency")+COUNTIF(K34,"Deficiency")+COUNTIF(M34,"Deficiency"))&gt;0,"Deficiency",IF((COUNTIF(C34,"On Hold")+COUNTIF(E34,"On Hold")+COUNTIF(G34,"On Hold")+COUNTIF(I34,"On Hold")+COUNTIF(K34,"On Hold")+COUNTIF(M34,"On Hold"))&gt;0,"On Hold",IF((COUNTIF(C34,"In Progress")+COUNTIF(E34,"In Progress")+COUNTIF(G34,"In Progress")+COUNTIF(I34,"In Progress")+COUNTIF(K34,"In Progress")+COUNTIF(M34,"In Progress"))&gt;0,"In Progress",IF((COUNTIF(C34,"Not Started")+COUNTIF(E34,"Not Started")+COUNTIF(G34,"Not Started")+COUNTIF(I34,"Not Started")+COUNTIF(K34,"Not Started")+COUNTIF(M34,"Not Started"))=6,"Not Started","Complete"))))</f>
        <v/>
      </c>
      <c r="AN34" s="86">
        <f>IF((COUNTIF(O34,"Deficiency")+COUNTIF(Q34,"Deficiency"))&gt;0,"Deficiency",IF((COUNTIF(O34,"On Hold")+COUNTIF(Q34,"On Hold"))&gt;0,"On Hold",IF((COUNTIF(O34,"In Progress")+COUNTIF(Q34,"In Progress"))&gt;0,"In Progress",IF((COUNTIF(O34,"Not Started")+COUNTIF(Q34,"Not Started"))=2,"Not Started","Complete"))))</f>
        <v/>
      </c>
      <c r="AO34" s="86">
        <f>IF((COUNTIF(S34,"Deficiency")+COUNTIF(U34,"Deficiency")+COUNTIF(W34,"Deficiency")+COUNTIF(Y34,"Deficiency")+COUNTIF(AA34,"Deficiency")+COUNTIF(AC34,"Deficiency")+COUNTIF(AE34,"Deficiency")+COUNTIF(AG34,"Deficiency")+COUNTIF(AI34,"Deficiency"))&gt;0,"Deficiency",IF((COUNTIF(S34,"On Hold")+COUNTIF(U34,"On Hold")+COUNTIF(W34,"On Hold")+COUNTIF(Y34,"On Hold")+COUNTIF(AA34,"On Hold")+COUNTIF(AC34,"On Hold")+COUNTIF(AE34,"On Hold")+COUNTIF(AG34,"On Hold")+COUNTIF(AI34,"On Hold"))&gt;0,"On Hold",IF((COUNTIF(S34,"In Progress")+COUNTIF(U34,"In Progress")+COUNTIF(W34,"In Progress")+COUNTIF(Y34,"In Progress")+COUNTIF(AA34,"In Progress")+COUNTIF(AC34,"In Progress")+COUNTIF(AE34,"In Progress")+COUNTIF(AG34,"In Progress")+COUNTIF(AI34,"In Progress"))&gt;0,"In Progress",IF((COUNTIF(S34,"Not Started")+COUNTIF(U34,"Not Started")+COUNTIF(W34,"Not Started")+COUNTIF(Y34,"Not Started")+COUNTIF(AA34,"Not Started")+COUNTIF(AC34,"Not Started")+COUNTIF(AE34,"Not Started")+COUNTIF(AG34,"Not Started")+COUNTIF(AI34,"Not Started"))=9,"Not Started","Complete"))))</f>
        <v/>
      </c>
      <c r="AP34" s="86">
        <f>AK34</f>
        <v/>
      </c>
      <c r="AQ34" s="86" t="inlineStr"/>
      <c r="AR34" s="86">
        <f>IF((COUNTIF(AM34,"Deficiency")+COUNTIF(AN34,"Deficiency")+COUNTIF(AO34,"Deficiency")+COUNTIF(AP34,"Deficiency"))&gt;0,"Deficiency",IF((COUNTIF(AM34,"On Hold")+COUNTIF(AN34,"On Hold")+COUNTIF(AO34,"On Hold")+COUNTIF(AP34,"On Hold"))&gt;0,"On Hold",IF((COUNTIF(AM34,"In Progress")+COUNTIF(AN34,"In Progress")+COUNTIF(AO34,"In Progress")+COUNTIF(AP34,"In Progress"))&gt;0,"In Progress",IF((COUNTIF(AM34,"Not Started")+COUNTIF(AN34,"Not Started")+COUNTIF(AO34,"Not Started")+COUNTIF(AP34,"Not Started"))=4,"Not Started","Complete"))))</f>
        <v/>
      </c>
      <c r="AS34" s="78" t="n"/>
      <c r="AT34" s="87" t="n"/>
      <c r="AU34" s="78" t="n"/>
      <c r="AV34" s="78" t="n"/>
      <c r="AW34" s="78" t="n"/>
      <c r="AX34" s="78" t="n"/>
    </row>
    <row r="35">
      <c r="A35" s="83" t="n">
        <v>3</v>
      </c>
      <c r="B35" s="83" t="n">
        <v>305</v>
      </c>
      <c r="C35" s="84" t="inlineStr">
        <is>
          <t>Not Started</t>
        </is>
      </c>
      <c r="D35" s="85" t="inlineStr"/>
      <c r="E35" s="84" t="inlineStr">
        <is>
          <t>Not Started</t>
        </is>
      </c>
      <c r="F35" s="85" t="inlineStr"/>
      <c r="G35" s="84" t="inlineStr">
        <is>
          <t>Not Started</t>
        </is>
      </c>
      <c r="H35" s="85" t="inlineStr"/>
      <c r="I35" s="84" t="inlineStr">
        <is>
          <t>Not Started</t>
        </is>
      </c>
      <c r="J35" s="85" t="inlineStr"/>
      <c r="K35" s="84" t="inlineStr">
        <is>
          <t>Not Started</t>
        </is>
      </c>
      <c r="L35" s="85" t="inlineStr"/>
      <c r="M35" s="84" t="inlineStr">
        <is>
          <t>Not Started</t>
        </is>
      </c>
      <c r="N35" s="85" t="inlineStr"/>
      <c r="O35" s="84" t="inlineStr">
        <is>
          <t>Not Started</t>
        </is>
      </c>
      <c r="P35" s="85" t="inlineStr"/>
      <c r="Q35" s="84" t="inlineStr">
        <is>
          <t>Not Started</t>
        </is>
      </c>
      <c r="R35" s="85" t="inlineStr"/>
      <c r="S35" s="84" t="inlineStr">
        <is>
          <t>Not Started</t>
        </is>
      </c>
      <c r="T35" s="85" t="inlineStr"/>
      <c r="U35" s="84" t="inlineStr">
        <is>
          <t>Not Started</t>
        </is>
      </c>
      <c r="V35" s="85" t="inlineStr"/>
      <c r="W35" s="84" t="inlineStr">
        <is>
          <t>Not Started</t>
        </is>
      </c>
      <c r="X35" s="85" t="inlineStr"/>
      <c r="Y35" s="84" t="inlineStr">
        <is>
          <t>Not Started</t>
        </is>
      </c>
      <c r="Z35" s="85" t="inlineStr"/>
      <c r="AA35" s="84" t="inlineStr">
        <is>
          <t>Not Started</t>
        </is>
      </c>
      <c r="AB35" s="85" t="inlineStr"/>
      <c r="AC35" s="84" t="inlineStr">
        <is>
          <t>Not Started</t>
        </is>
      </c>
      <c r="AD35" s="85" t="inlineStr"/>
      <c r="AE35" s="84" t="inlineStr">
        <is>
          <t>Not Started</t>
        </is>
      </c>
      <c r="AF35" s="85" t="inlineStr"/>
      <c r="AG35" s="84" t="inlineStr">
        <is>
          <t>Not Started</t>
        </is>
      </c>
      <c r="AH35" s="85" t="inlineStr"/>
      <c r="AI35" s="84" t="inlineStr">
        <is>
          <t>Not Started</t>
        </is>
      </c>
      <c r="AJ35" s="85" t="inlineStr"/>
      <c r="AK35" s="84" t="inlineStr">
        <is>
          <t>Not Started</t>
        </is>
      </c>
      <c r="AL35" s="85" t="inlineStr"/>
      <c r="AM35" s="86">
        <f>IF((COUNTIF(C35,"Deficiency")+COUNTIF(E35,"Deficiency")+COUNTIF(G35,"Deficiency")+COUNTIF(I35,"Deficiency")+COUNTIF(K35,"Deficiency")+COUNTIF(M35,"Deficiency"))&gt;0,"Deficiency",IF((COUNTIF(C35,"On Hold")+COUNTIF(E35,"On Hold")+COUNTIF(G35,"On Hold")+COUNTIF(I35,"On Hold")+COUNTIF(K35,"On Hold")+COUNTIF(M35,"On Hold"))&gt;0,"On Hold",IF((COUNTIF(C35,"In Progress")+COUNTIF(E35,"In Progress")+COUNTIF(G35,"In Progress")+COUNTIF(I35,"In Progress")+COUNTIF(K35,"In Progress")+COUNTIF(M35,"In Progress"))&gt;0,"In Progress",IF((COUNTIF(C35,"Not Started")+COUNTIF(E35,"Not Started")+COUNTIF(G35,"Not Started")+COUNTIF(I35,"Not Started")+COUNTIF(K35,"Not Started")+COUNTIF(M35,"Not Started"))=6,"Not Started","Complete"))))</f>
        <v/>
      </c>
      <c r="AN35" s="86">
        <f>IF((COUNTIF(O35,"Deficiency")+COUNTIF(Q35,"Deficiency"))&gt;0,"Deficiency",IF((COUNTIF(O35,"On Hold")+COUNTIF(Q35,"On Hold"))&gt;0,"On Hold",IF((COUNTIF(O35,"In Progress")+COUNTIF(Q35,"In Progress"))&gt;0,"In Progress",IF((COUNTIF(O35,"Not Started")+COUNTIF(Q35,"Not Started"))=2,"Not Started","Complete"))))</f>
        <v/>
      </c>
      <c r="AO35" s="86">
        <f>IF((COUNTIF(S35,"Deficiency")+COUNTIF(U35,"Deficiency")+COUNTIF(W35,"Deficiency")+COUNTIF(Y35,"Deficiency")+COUNTIF(AA35,"Deficiency")+COUNTIF(AC35,"Deficiency")+COUNTIF(AE35,"Deficiency")+COUNTIF(AG35,"Deficiency")+COUNTIF(AI35,"Deficiency"))&gt;0,"Deficiency",IF((COUNTIF(S35,"On Hold")+COUNTIF(U35,"On Hold")+COUNTIF(W35,"On Hold")+COUNTIF(Y35,"On Hold")+COUNTIF(AA35,"On Hold")+COUNTIF(AC35,"On Hold")+COUNTIF(AE35,"On Hold")+COUNTIF(AG35,"On Hold")+COUNTIF(AI35,"On Hold"))&gt;0,"On Hold",IF((COUNTIF(S35,"In Progress")+COUNTIF(U35,"In Progress")+COUNTIF(W35,"In Progress")+COUNTIF(Y35,"In Progress")+COUNTIF(AA35,"In Progress")+COUNTIF(AC35,"In Progress")+COUNTIF(AE35,"In Progress")+COUNTIF(AG35,"In Progress")+COUNTIF(AI35,"In Progress"))&gt;0,"In Progress",IF((COUNTIF(S35,"Not Started")+COUNTIF(U35,"Not Started")+COUNTIF(W35,"Not Started")+COUNTIF(Y35,"Not Started")+COUNTIF(AA35,"Not Started")+COUNTIF(AC35,"Not Started")+COUNTIF(AE35,"Not Started")+COUNTIF(AG35,"Not Started")+COUNTIF(AI35,"Not Started"))=9,"Not Started","Complete"))))</f>
        <v/>
      </c>
      <c r="AP35" s="86">
        <f>AK35</f>
        <v/>
      </c>
      <c r="AQ35" s="86" t="inlineStr"/>
      <c r="AR35" s="86">
        <f>IF((COUNTIF(AM35,"Deficiency")+COUNTIF(AN35,"Deficiency")+COUNTIF(AO35,"Deficiency")+COUNTIF(AP35,"Deficiency"))&gt;0,"Deficiency",IF((COUNTIF(AM35,"On Hold")+COUNTIF(AN35,"On Hold")+COUNTIF(AO35,"On Hold")+COUNTIF(AP35,"On Hold"))&gt;0,"On Hold",IF((COUNTIF(AM35,"In Progress")+COUNTIF(AN35,"In Progress")+COUNTIF(AO35,"In Progress")+COUNTIF(AP35,"In Progress"))&gt;0,"In Progress",IF((COUNTIF(AM35,"Not Started")+COUNTIF(AN35,"Not Started")+COUNTIF(AO35,"Not Started")+COUNTIF(AP35,"Not Started"))=4,"Not Started","Complete"))))</f>
        <v/>
      </c>
      <c r="AS35" s="78" t="n"/>
      <c r="AT35" s="87" t="n"/>
      <c r="AU35" s="78" t="n"/>
      <c r="AV35" s="78" t="n"/>
      <c r="AW35" s="78" t="n"/>
      <c r="AX35" s="78" t="n"/>
    </row>
    <row r="36">
      <c r="A36" s="83" t="n">
        <v>3</v>
      </c>
      <c r="B36" s="83" t="n">
        <v>306</v>
      </c>
      <c r="C36" s="84" t="inlineStr">
        <is>
          <t>Not Started</t>
        </is>
      </c>
      <c r="D36" s="85" t="inlineStr"/>
      <c r="E36" s="84" t="inlineStr">
        <is>
          <t>Not Started</t>
        </is>
      </c>
      <c r="F36" s="85" t="inlineStr"/>
      <c r="G36" s="84" t="inlineStr">
        <is>
          <t>Not Started</t>
        </is>
      </c>
      <c r="H36" s="85" t="inlineStr"/>
      <c r="I36" s="84" t="inlineStr">
        <is>
          <t>Not Started</t>
        </is>
      </c>
      <c r="J36" s="85" t="inlineStr"/>
      <c r="K36" s="84" t="inlineStr">
        <is>
          <t>Not Started</t>
        </is>
      </c>
      <c r="L36" s="85" t="inlineStr"/>
      <c r="M36" s="84" t="inlineStr">
        <is>
          <t>Not Started</t>
        </is>
      </c>
      <c r="N36" s="85" t="inlineStr"/>
      <c r="O36" s="84" t="inlineStr">
        <is>
          <t>Not Started</t>
        </is>
      </c>
      <c r="P36" s="85" t="inlineStr"/>
      <c r="Q36" s="84" t="inlineStr">
        <is>
          <t>Not Started</t>
        </is>
      </c>
      <c r="R36" s="85" t="inlineStr"/>
      <c r="S36" s="84" t="inlineStr">
        <is>
          <t>Not Started</t>
        </is>
      </c>
      <c r="T36" s="85" t="inlineStr"/>
      <c r="U36" s="84" t="inlineStr">
        <is>
          <t>Not Started</t>
        </is>
      </c>
      <c r="V36" s="85" t="inlineStr"/>
      <c r="W36" s="84" t="inlineStr">
        <is>
          <t>Not Started</t>
        </is>
      </c>
      <c r="X36" s="85" t="inlineStr"/>
      <c r="Y36" s="84" t="inlineStr">
        <is>
          <t>Not Started</t>
        </is>
      </c>
      <c r="Z36" s="85" t="inlineStr"/>
      <c r="AA36" s="84" t="inlineStr">
        <is>
          <t>Not Started</t>
        </is>
      </c>
      <c r="AB36" s="85" t="inlineStr"/>
      <c r="AC36" s="84" t="inlineStr">
        <is>
          <t>Not Started</t>
        </is>
      </c>
      <c r="AD36" s="85" t="inlineStr"/>
      <c r="AE36" s="84" t="inlineStr">
        <is>
          <t>Not Started</t>
        </is>
      </c>
      <c r="AF36" s="85" t="inlineStr"/>
      <c r="AG36" s="84" t="inlineStr">
        <is>
          <t>Not Started</t>
        </is>
      </c>
      <c r="AH36" s="85" t="inlineStr"/>
      <c r="AI36" s="84" t="inlineStr">
        <is>
          <t>Not Started</t>
        </is>
      </c>
      <c r="AJ36" s="85" t="inlineStr"/>
      <c r="AK36" s="84" t="inlineStr">
        <is>
          <t>Not Started</t>
        </is>
      </c>
      <c r="AL36" s="85" t="inlineStr"/>
      <c r="AM36" s="86">
        <f>IF((COUNTIF(C36,"Deficiency")+COUNTIF(E36,"Deficiency")+COUNTIF(G36,"Deficiency")+COUNTIF(I36,"Deficiency")+COUNTIF(K36,"Deficiency")+COUNTIF(M36,"Deficiency"))&gt;0,"Deficiency",IF((COUNTIF(C36,"On Hold")+COUNTIF(E36,"On Hold")+COUNTIF(G36,"On Hold")+COUNTIF(I36,"On Hold")+COUNTIF(K36,"On Hold")+COUNTIF(M36,"On Hold"))&gt;0,"On Hold",IF((COUNTIF(C36,"In Progress")+COUNTIF(E36,"In Progress")+COUNTIF(G36,"In Progress")+COUNTIF(I36,"In Progress")+COUNTIF(K36,"In Progress")+COUNTIF(M36,"In Progress"))&gt;0,"In Progress",IF((COUNTIF(C36,"Not Started")+COUNTIF(E36,"Not Started")+COUNTIF(G36,"Not Started")+COUNTIF(I36,"Not Started")+COUNTIF(K36,"Not Started")+COUNTIF(M36,"Not Started"))=6,"Not Started","Complete"))))</f>
        <v/>
      </c>
      <c r="AN36" s="86">
        <f>IF((COUNTIF(O36,"Deficiency")+COUNTIF(Q36,"Deficiency"))&gt;0,"Deficiency",IF((COUNTIF(O36,"On Hold")+COUNTIF(Q36,"On Hold"))&gt;0,"On Hold",IF((COUNTIF(O36,"In Progress")+COUNTIF(Q36,"In Progress"))&gt;0,"In Progress",IF((COUNTIF(O36,"Not Started")+COUNTIF(Q36,"Not Started"))=2,"Not Started","Complete"))))</f>
        <v/>
      </c>
      <c r="AO36" s="86">
        <f>IF((COUNTIF(S36,"Deficiency")+COUNTIF(U36,"Deficiency")+COUNTIF(W36,"Deficiency")+COUNTIF(Y36,"Deficiency")+COUNTIF(AA36,"Deficiency")+COUNTIF(AC36,"Deficiency")+COUNTIF(AE36,"Deficiency")+COUNTIF(AG36,"Deficiency")+COUNTIF(AI36,"Deficiency"))&gt;0,"Deficiency",IF((COUNTIF(S36,"On Hold")+COUNTIF(U36,"On Hold")+COUNTIF(W36,"On Hold")+COUNTIF(Y36,"On Hold")+COUNTIF(AA36,"On Hold")+COUNTIF(AC36,"On Hold")+COUNTIF(AE36,"On Hold")+COUNTIF(AG36,"On Hold")+COUNTIF(AI36,"On Hold"))&gt;0,"On Hold",IF((COUNTIF(S36,"In Progress")+COUNTIF(U36,"In Progress")+COUNTIF(W36,"In Progress")+COUNTIF(Y36,"In Progress")+COUNTIF(AA36,"In Progress")+COUNTIF(AC36,"In Progress")+COUNTIF(AE36,"In Progress")+COUNTIF(AG36,"In Progress")+COUNTIF(AI36,"In Progress"))&gt;0,"In Progress",IF((COUNTIF(S36,"Not Started")+COUNTIF(U36,"Not Started")+COUNTIF(W36,"Not Started")+COUNTIF(Y36,"Not Started")+COUNTIF(AA36,"Not Started")+COUNTIF(AC36,"Not Started")+COUNTIF(AE36,"Not Started")+COUNTIF(AG36,"Not Started")+COUNTIF(AI36,"Not Started"))=9,"Not Started","Complete"))))</f>
        <v/>
      </c>
      <c r="AP36" s="86">
        <f>AK36</f>
        <v/>
      </c>
      <c r="AQ36" s="86" t="inlineStr"/>
      <c r="AR36" s="86">
        <f>IF((COUNTIF(AM36,"Deficiency")+COUNTIF(AN36,"Deficiency")+COUNTIF(AO36,"Deficiency")+COUNTIF(AP36,"Deficiency"))&gt;0,"Deficiency",IF((COUNTIF(AM36,"On Hold")+COUNTIF(AN36,"On Hold")+COUNTIF(AO36,"On Hold")+COUNTIF(AP36,"On Hold"))&gt;0,"On Hold",IF((COUNTIF(AM36,"In Progress")+COUNTIF(AN36,"In Progress")+COUNTIF(AO36,"In Progress")+COUNTIF(AP36,"In Progress"))&gt;0,"In Progress",IF((COUNTIF(AM36,"Not Started")+COUNTIF(AN36,"Not Started")+COUNTIF(AO36,"Not Started")+COUNTIF(AP36,"Not Started"))=4,"Not Started","Complete"))))</f>
        <v/>
      </c>
      <c r="AS36" s="78" t="n"/>
      <c r="AT36" s="87" t="n"/>
      <c r="AU36" s="78" t="n"/>
      <c r="AV36" s="78" t="n"/>
      <c r="AW36" s="78" t="n"/>
      <c r="AX36" s="78" t="n"/>
    </row>
    <row r="37">
      <c r="A37" s="83" t="n">
        <v>3</v>
      </c>
      <c r="B37" s="83" t="n">
        <v>307</v>
      </c>
      <c r="C37" s="84" t="inlineStr">
        <is>
          <t>Not Started</t>
        </is>
      </c>
      <c r="D37" s="85" t="inlineStr"/>
      <c r="E37" s="84" t="inlineStr">
        <is>
          <t>Not Started</t>
        </is>
      </c>
      <c r="F37" s="85" t="inlineStr"/>
      <c r="G37" s="84" t="inlineStr">
        <is>
          <t>Not Started</t>
        </is>
      </c>
      <c r="H37" s="85" t="inlineStr"/>
      <c r="I37" s="84" t="inlineStr">
        <is>
          <t>Not Started</t>
        </is>
      </c>
      <c r="J37" s="85" t="inlineStr"/>
      <c r="K37" s="84" t="inlineStr">
        <is>
          <t>Not Started</t>
        </is>
      </c>
      <c r="L37" s="85" t="inlineStr"/>
      <c r="M37" s="84" t="inlineStr">
        <is>
          <t>Not Started</t>
        </is>
      </c>
      <c r="N37" s="85" t="inlineStr"/>
      <c r="O37" s="84" t="inlineStr">
        <is>
          <t>Not Started</t>
        </is>
      </c>
      <c r="P37" s="85" t="inlineStr"/>
      <c r="Q37" s="84" t="inlineStr">
        <is>
          <t>Not Started</t>
        </is>
      </c>
      <c r="R37" s="85" t="inlineStr"/>
      <c r="S37" s="84" t="inlineStr">
        <is>
          <t>Not Started</t>
        </is>
      </c>
      <c r="T37" s="85" t="inlineStr"/>
      <c r="U37" s="84" t="inlineStr">
        <is>
          <t>Not Started</t>
        </is>
      </c>
      <c r="V37" s="85" t="inlineStr"/>
      <c r="W37" s="84" t="inlineStr">
        <is>
          <t>Not Started</t>
        </is>
      </c>
      <c r="X37" s="85" t="inlineStr"/>
      <c r="Y37" s="84" t="inlineStr">
        <is>
          <t>Not Started</t>
        </is>
      </c>
      <c r="Z37" s="85" t="inlineStr"/>
      <c r="AA37" s="84" t="inlineStr">
        <is>
          <t>Not Started</t>
        </is>
      </c>
      <c r="AB37" s="85" t="inlineStr"/>
      <c r="AC37" s="84" t="inlineStr">
        <is>
          <t>Not Started</t>
        </is>
      </c>
      <c r="AD37" s="85" t="inlineStr"/>
      <c r="AE37" s="84" t="inlineStr">
        <is>
          <t>Not Started</t>
        </is>
      </c>
      <c r="AF37" s="85" t="inlineStr"/>
      <c r="AG37" s="84" t="inlineStr">
        <is>
          <t>Not Started</t>
        </is>
      </c>
      <c r="AH37" s="85" t="inlineStr"/>
      <c r="AI37" s="84" t="inlineStr">
        <is>
          <t>Not Started</t>
        </is>
      </c>
      <c r="AJ37" s="85" t="inlineStr"/>
      <c r="AK37" s="84" t="inlineStr">
        <is>
          <t>Not Started</t>
        </is>
      </c>
      <c r="AL37" s="85" t="inlineStr"/>
      <c r="AM37" s="86">
        <f>IF((COUNTIF(C37,"Deficiency")+COUNTIF(E37,"Deficiency")+COUNTIF(G37,"Deficiency")+COUNTIF(I37,"Deficiency")+COUNTIF(K37,"Deficiency")+COUNTIF(M37,"Deficiency"))&gt;0,"Deficiency",IF((COUNTIF(C37,"On Hold")+COUNTIF(E37,"On Hold")+COUNTIF(G37,"On Hold")+COUNTIF(I37,"On Hold")+COUNTIF(K37,"On Hold")+COUNTIF(M37,"On Hold"))&gt;0,"On Hold",IF((COUNTIF(C37,"In Progress")+COUNTIF(E37,"In Progress")+COUNTIF(G37,"In Progress")+COUNTIF(I37,"In Progress")+COUNTIF(K37,"In Progress")+COUNTIF(M37,"In Progress"))&gt;0,"In Progress",IF((COUNTIF(C37,"Not Started")+COUNTIF(E37,"Not Started")+COUNTIF(G37,"Not Started")+COUNTIF(I37,"Not Started")+COUNTIF(K37,"Not Started")+COUNTIF(M37,"Not Started"))=6,"Not Started","Complete"))))</f>
        <v/>
      </c>
      <c r="AN37" s="86">
        <f>IF((COUNTIF(O37,"Deficiency")+COUNTIF(Q37,"Deficiency"))&gt;0,"Deficiency",IF((COUNTIF(O37,"On Hold")+COUNTIF(Q37,"On Hold"))&gt;0,"On Hold",IF((COUNTIF(O37,"In Progress")+COUNTIF(Q37,"In Progress"))&gt;0,"In Progress",IF((COUNTIF(O37,"Not Started")+COUNTIF(Q37,"Not Started"))=2,"Not Started","Complete"))))</f>
        <v/>
      </c>
      <c r="AO37" s="86">
        <f>IF((COUNTIF(S37,"Deficiency")+COUNTIF(U37,"Deficiency")+COUNTIF(W37,"Deficiency")+COUNTIF(Y37,"Deficiency")+COUNTIF(AA37,"Deficiency")+COUNTIF(AC37,"Deficiency")+COUNTIF(AE37,"Deficiency")+COUNTIF(AG37,"Deficiency")+COUNTIF(AI37,"Deficiency"))&gt;0,"Deficiency",IF((COUNTIF(S37,"On Hold")+COUNTIF(U37,"On Hold")+COUNTIF(W37,"On Hold")+COUNTIF(Y37,"On Hold")+COUNTIF(AA37,"On Hold")+COUNTIF(AC37,"On Hold")+COUNTIF(AE37,"On Hold")+COUNTIF(AG37,"On Hold")+COUNTIF(AI37,"On Hold"))&gt;0,"On Hold",IF((COUNTIF(S37,"In Progress")+COUNTIF(U37,"In Progress")+COUNTIF(W37,"In Progress")+COUNTIF(Y37,"In Progress")+COUNTIF(AA37,"In Progress")+COUNTIF(AC37,"In Progress")+COUNTIF(AE37,"In Progress")+COUNTIF(AG37,"In Progress")+COUNTIF(AI37,"In Progress"))&gt;0,"In Progress",IF((COUNTIF(S37,"Not Started")+COUNTIF(U37,"Not Started")+COUNTIF(W37,"Not Started")+COUNTIF(Y37,"Not Started")+COUNTIF(AA37,"Not Started")+COUNTIF(AC37,"Not Started")+COUNTIF(AE37,"Not Started")+COUNTIF(AG37,"Not Started")+COUNTIF(AI37,"Not Started"))=9,"Not Started","Complete"))))</f>
        <v/>
      </c>
      <c r="AP37" s="86">
        <f>AK37</f>
        <v/>
      </c>
      <c r="AQ37" s="86" t="inlineStr"/>
      <c r="AR37" s="86">
        <f>IF((COUNTIF(AM37,"Deficiency")+COUNTIF(AN37,"Deficiency")+COUNTIF(AO37,"Deficiency")+COUNTIF(AP37,"Deficiency"))&gt;0,"Deficiency",IF((COUNTIF(AM37,"On Hold")+COUNTIF(AN37,"On Hold")+COUNTIF(AO37,"On Hold")+COUNTIF(AP37,"On Hold"))&gt;0,"On Hold",IF((COUNTIF(AM37,"In Progress")+COUNTIF(AN37,"In Progress")+COUNTIF(AO37,"In Progress")+COUNTIF(AP37,"In Progress"))&gt;0,"In Progress",IF((COUNTIF(AM37,"Not Started")+COUNTIF(AN37,"Not Started")+COUNTIF(AO37,"Not Started")+COUNTIF(AP37,"Not Started"))=4,"Not Started","Complete"))))</f>
        <v/>
      </c>
      <c r="AS37" s="78" t="n"/>
      <c r="AT37" s="87" t="n"/>
      <c r="AU37" s="78" t="n"/>
      <c r="AV37" s="78" t="n"/>
      <c r="AW37" s="78" t="n"/>
      <c r="AX37" s="78" t="n"/>
    </row>
    <row r="38">
      <c r="A38" s="83" t="n">
        <v>3</v>
      </c>
      <c r="B38" s="83" t="n">
        <v>308</v>
      </c>
      <c r="C38" s="84" t="inlineStr">
        <is>
          <t>Not Started</t>
        </is>
      </c>
      <c r="D38" s="85" t="inlineStr"/>
      <c r="E38" s="84" t="inlineStr">
        <is>
          <t>Not Started</t>
        </is>
      </c>
      <c r="F38" s="85" t="inlineStr"/>
      <c r="G38" s="84" t="inlineStr">
        <is>
          <t>Not Started</t>
        </is>
      </c>
      <c r="H38" s="85" t="inlineStr"/>
      <c r="I38" s="84" t="inlineStr">
        <is>
          <t>Not Started</t>
        </is>
      </c>
      <c r="J38" s="85" t="inlineStr"/>
      <c r="K38" s="84" t="inlineStr">
        <is>
          <t>Not Started</t>
        </is>
      </c>
      <c r="L38" s="85" t="inlineStr"/>
      <c r="M38" s="84" t="inlineStr">
        <is>
          <t>Not Started</t>
        </is>
      </c>
      <c r="N38" s="85" t="inlineStr"/>
      <c r="O38" s="84" t="inlineStr">
        <is>
          <t>Not Started</t>
        </is>
      </c>
      <c r="P38" s="85" t="inlineStr"/>
      <c r="Q38" s="84" t="inlineStr">
        <is>
          <t>Not Started</t>
        </is>
      </c>
      <c r="R38" s="85" t="inlineStr"/>
      <c r="S38" s="84" t="inlineStr">
        <is>
          <t>Not Started</t>
        </is>
      </c>
      <c r="T38" s="85" t="inlineStr"/>
      <c r="U38" s="84" t="inlineStr">
        <is>
          <t>Not Started</t>
        </is>
      </c>
      <c r="V38" s="85" t="inlineStr"/>
      <c r="W38" s="84" t="inlineStr">
        <is>
          <t>Not Started</t>
        </is>
      </c>
      <c r="X38" s="85" t="inlineStr"/>
      <c r="Y38" s="84" t="inlineStr">
        <is>
          <t>Not Started</t>
        </is>
      </c>
      <c r="Z38" s="85" t="inlineStr"/>
      <c r="AA38" s="84" t="inlineStr">
        <is>
          <t>Not Started</t>
        </is>
      </c>
      <c r="AB38" s="85" t="inlineStr"/>
      <c r="AC38" s="84" t="inlineStr">
        <is>
          <t>Not Started</t>
        </is>
      </c>
      <c r="AD38" s="85" t="inlineStr"/>
      <c r="AE38" s="84" t="inlineStr">
        <is>
          <t>Not Started</t>
        </is>
      </c>
      <c r="AF38" s="85" t="inlineStr"/>
      <c r="AG38" s="84" t="inlineStr">
        <is>
          <t>Not Started</t>
        </is>
      </c>
      <c r="AH38" s="85" t="inlineStr"/>
      <c r="AI38" s="84" t="inlineStr">
        <is>
          <t>Not Started</t>
        </is>
      </c>
      <c r="AJ38" s="85" t="inlineStr"/>
      <c r="AK38" s="84" t="inlineStr">
        <is>
          <t>Not Started</t>
        </is>
      </c>
      <c r="AL38" s="85" t="inlineStr"/>
      <c r="AM38" s="86">
        <f>IF((COUNTIF(C38,"Deficiency")+COUNTIF(E38,"Deficiency")+COUNTIF(G38,"Deficiency")+COUNTIF(I38,"Deficiency")+COUNTIF(K38,"Deficiency")+COUNTIF(M38,"Deficiency"))&gt;0,"Deficiency",IF((COUNTIF(C38,"On Hold")+COUNTIF(E38,"On Hold")+COUNTIF(G38,"On Hold")+COUNTIF(I38,"On Hold")+COUNTIF(K38,"On Hold")+COUNTIF(M38,"On Hold"))&gt;0,"On Hold",IF((COUNTIF(C38,"In Progress")+COUNTIF(E38,"In Progress")+COUNTIF(G38,"In Progress")+COUNTIF(I38,"In Progress")+COUNTIF(K38,"In Progress")+COUNTIF(M38,"In Progress"))&gt;0,"In Progress",IF((COUNTIF(C38,"Not Started")+COUNTIF(E38,"Not Started")+COUNTIF(G38,"Not Started")+COUNTIF(I38,"Not Started")+COUNTIF(K38,"Not Started")+COUNTIF(M38,"Not Started"))=6,"Not Started","Complete"))))</f>
        <v/>
      </c>
      <c r="AN38" s="86">
        <f>IF((COUNTIF(O38,"Deficiency")+COUNTIF(Q38,"Deficiency"))&gt;0,"Deficiency",IF((COUNTIF(O38,"On Hold")+COUNTIF(Q38,"On Hold"))&gt;0,"On Hold",IF((COUNTIF(O38,"In Progress")+COUNTIF(Q38,"In Progress"))&gt;0,"In Progress",IF((COUNTIF(O38,"Not Started")+COUNTIF(Q38,"Not Started"))=2,"Not Started","Complete"))))</f>
        <v/>
      </c>
      <c r="AO38" s="86">
        <f>IF((COUNTIF(S38,"Deficiency")+COUNTIF(U38,"Deficiency")+COUNTIF(W38,"Deficiency")+COUNTIF(Y38,"Deficiency")+COUNTIF(AA38,"Deficiency")+COUNTIF(AC38,"Deficiency")+COUNTIF(AE38,"Deficiency")+COUNTIF(AG38,"Deficiency")+COUNTIF(AI38,"Deficiency"))&gt;0,"Deficiency",IF((COUNTIF(S38,"On Hold")+COUNTIF(U38,"On Hold")+COUNTIF(W38,"On Hold")+COUNTIF(Y38,"On Hold")+COUNTIF(AA38,"On Hold")+COUNTIF(AC38,"On Hold")+COUNTIF(AE38,"On Hold")+COUNTIF(AG38,"On Hold")+COUNTIF(AI38,"On Hold"))&gt;0,"On Hold",IF((COUNTIF(S38,"In Progress")+COUNTIF(U38,"In Progress")+COUNTIF(W38,"In Progress")+COUNTIF(Y38,"In Progress")+COUNTIF(AA38,"In Progress")+COUNTIF(AC38,"In Progress")+COUNTIF(AE38,"In Progress")+COUNTIF(AG38,"In Progress")+COUNTIF(AI38,"In Progress"))&gt;0,"In Progress",IF((COUNTIF(S38,"Not Started")+COUNTIF(U38,"Not Started")+COUNTIF(W38,"Not Started")+COUNTIF(Y38,"Not Started")+COUNTIF(AA38,"Not Started")+COUNTIF(AC38,"Not Started")+COUNTIF(AE38,"Not Started")+COUNTIF(AG38,"Not Started")+COUNTIF(AI38,"Not Started"))=9,"Not Started","Complete"))))</f>
        <v/>
      </c>
      <c r="AP38" s="86">
        <f>AK38</f>
        <v/>
      </c>
      <c r="AQ38" s="86" t="inlineStr"/>
      <c r="AR38" s="86">
        <f>IF((COUNTIF(AM38,"Deficiency")+COUNTIF(AN38,"Deficiency")+COUNTIF(AO38,"Deficiency")+COUNTIF(AP38,"Deficiency"))&gt;0,"Deficiency",IF((COUNTIF(AM38,"On Hold")+COUNTIF(AN38,"On Hold")+COUNTIF(AO38,"On Hold")+COUNTIF(AP38,"On Hold"))&gt;0,"On Hold",IF((COUNTIF(AM38,"In Progress")+COUNTIF(AN38,"In Progress")+COUNTIF(AO38,"In Progress")+COUNTIF(AP38,"In Progress"))&gt;0,"In Progress",IF((COUNTIF(AM38,"Not Started")+COUNTIF(AN38,"Not Started")+COUNTIF(AO38,"Not Started")+COUNTIF(AP38,"Not Started"))=4,"Not Started","Complete"))))</f>
        <v/>
      </c>
      <c r="AS38" s="78" t="n"/>
      <c r="AT38" s="87" t="n"/>
      <c r="AU38" s="78" t="n"/>
      <c r="AV38" s="78" t="n"/>
      <c r="AW38" s="78" t="n"/>
      <c r="AX38" s="78" t="n"/>
    </row>
    <row r="39">
      <c r="A39" s="83" t="n">
        <v>3</v>
      </c>
      <c r="B39" s="83" t="n">
        <v>309</v>
      </c>
      <c r="C39" s="84" t="inlineStr">
        <is>
          <t>Not Started</t>
        </is>
      </c>
      <c r="D39" s="85" t="inlineStr"/>
      <c r="E39" s="84" t="inlineStr">
        <is>
          <t>Not Started</t>
        </is>
      </c>
      <c r="F39" s="85" t="inlineStr"/>
      <c r="G39" s="84" t="inlineStr">
        <is>
          <t>Not Started</t>
        </is>
      </c>
      <c r="H39" s="85" t="inlineStr"/>
      <c r="I39" s="84" t="inlineStr">
        <is>
          <t>Not Started</t>
        </is>
      </c>
      <c r="J39" s="85" t="inlineStr"/>
      <c r="K39" s="84" t="inlineStr">
        <is>
          <t>Not Started</t>
        </is>
      </c>
      <c r="L39" s="85" t="inlineStr"/>
      <c r="M39" s="84" t="inlineStr">
        <is>
          <t>Not Started</t>
        </is>
      </c>
      <c r="N39" s="85" t="inlineStr"/>
      <c r="O39" s="84" t="inlineStr">
        <is>
          <t>Not Started</t>
        </is>
      </c>
      <c r="P39" s="85" t="inlineStr"/>
      <c r="Q39" s="84" t="inlineStr">
        <is>
          <t>Not Started</t>
        </is>
      </c>
      <c r="R39" s="85" t="inlineStr"/>
      <c r="S39" s="84" t="inlineStr">
        <is>
          <t>Not Started</t>
        </is>
      </c>
      <c r="T39" s="85" t="inlineStr"/>
      <c r="U39" s="84" t="inlineStr">
        <is>
          <t>Not Started</t>
        </is>
      </c>
      <c r="V39" s="85" t="inlineStr"/>
      <c r="W39" s="84" t="inlineStr">
        <is>
          <t>Not Started</t>
        </is>
      </c>
      <c r="X39" s="85" t="inlineStr"/>
      <c r="Y39" s="84" t="inlineStr">
        <is>
          <t>Not Started</t>
        </is>
      </c>
      <c r="Z39" s="85" t="inlineStr"/>
      <c r="AA39" s="84" t="inlineStr">
        <is>
          <t>Not Started</t>
        </is>
      </c>
      <c r="AB39" s="85" t="inlineStr"/>
      <c r="AC39" s="84" t="inlineStr">
        <is>
          <t>Not Started</t>
        </is>
      </c>
      <c r="AD39" s="85" t="inlineStr"/>
      <c r="AE39" s="84" t="inlineStr">
        <is>
          <t>Not Started</t>
        </is>
      </c>
      <c r="AF39" s="85" t="inlineStr"/>
      <c r="AG39" s="84" t="inlineStr">
        <is>
          <t>Not Started</t>
        </is>
      </c>
      <c r="AH39" s="85" t="inlineStr"/>
      <c r="AI39" s="84" t="inlineStr">
        <is>
          <t>Not Started</t>
        </is>
      </c>
      <c r="AJ39" s="85" t="inlineStr"/>
      <c r="AK39" s="84" t="inlineStr">
        <is>
          <t>Not Started</t>
        </is>
      </c>
      <c r="AL39" s="85" t="inlineStr"/>
      <c r="AM39" s="86">
        <f>IF((COUNTIF(C39,"Deficiency")+COUNTIF(E39,"Deficiency")+COUNTIF(G39,"Deficiency")+COUNTIF(I39,"Deficiency")+COUNTIF(K39,"Deficiency")+COUNTIF(M39,"Deficiency"))&gt;0,"Deficiency",IF((COUNTIF(C39,"On Hold")+COUNTIF(E39,"On Hold")+COUNTIF(G39,"On Hold")+COUNTIF(I39,"On Hold")+COUNTIF(K39,"On Hold")+COUNTIF(M39,"On Hold"))&gt;0,"On Hold",IF((COUNTIF(C39,"In Progress")+COUNTIF(E39,"In Progress")+COUNTIF(G39,"In Progress")+COUNTIF(I39,"In Progress")+COUNTIF(K39,"In Progress")+COUNTIF(M39,"In Progress"))&gt;0,"In Progress",IF((COUNTIF(C39,"Not Started")+COUNTIF(E39,"Not Started")+COUNTIF(G39,"Not Started")+COUNTIF(I39,"Not Started")+COUNTIF(K39,"Not Started")+COUNTIF(M39,"Not Started"))=6,"Not Started","Complete"))))</f>
        <v/>
      </c>
      <c r="AN39" s="86">
        <f>IF((COUNTIF(O39,"Deficiency")+COUNTIF(Q39,"Deficiency"))&gt;0,"Deficiency",IF((COUNTIF(O39,"On Hold")+COUNTIF(Q39,"On Hold"))&gt;0,"On Hold",IF((COUNTIF(O39,"In Progress")+COUNTIF(Q39,"In Progress"))&gt;0,"In Progress",IF((COUNTIF(O39,"Not Started")+COUNTIF(Q39,"Not Started"))=2,"Not Started","Complete"))))</f>
        <v/>
      </c>
      <c r="AO39" s="86">
        <f>IF((COUNTIF(S39,"Deficiency")+COUNTIF(U39,"Deficiency")+COUNTIF(W39,"Deficiency")+COUNTIF(Y39,"Deficiency")+COUNTIF(AA39,"Deficiency")+COUNTIF(AC39,"Deficiency")+COUNTIF(AE39,"Deficiency")+COUNTIF(AG39,"Deficiency")+COUNTIF(AI39,"Deficiency"))&gt;0,"Deficiency",IF((COUNTIF(S39,"On Hold")+COUNTIF(U39,"On Hold")+COUNTIF(W39,"On Hold")+COUNTIF(Y39,"On Hold")+COUNTIF(AA39,"On Hold")+COUNTIF(AC39,"On Hold")+COUNTIF(AE39,"On Hold")+COUNTIF(AG39,"On Hold")+COUNTIF(AI39,"On Hold"))&gt;0,"On Hold",IF((COUNTIF(S39,"In Progress")+COUNTIF(U39,"In Progress")+COUNTIF(W39,"In Progress")+COUNTIF(Y39,"In Progress")+COUNTIF(AA39,"In Progress")+COUNTIF(AC39,"In Progress")+COUNTIF(AE39,"In Progress")+COUNTIF(AG39,"In Progress")+COUNTIF(AI39,"In Progress"))&gt;0,"In Progress",IF((COUNTIF(S39,"Not Started")+COUNTIF(U39,"Not Started")+COUNTIF(W39,"Not Started")+COUNTIF(Y39,"Not Started")+COUNTIF(AA39,"Not Started")+COUNTIF(AC39,"Not Started")+COUNTIF(AE39,"Not Started")+COUNTIF(AG39,"Not Started")+COUNTIF(AI39,"Not Started"))=9,"Not Started","Complete"))))</f>
        <v/>
      </c>
      <c r="AP39" s="86">
        <f>AK39</f>
        <v/>
      </c>
      <c r="AQ39" s="86" t="inlineStr"/>
      <c r="AR39" s="86">
        <f>IF((COUNTIF(AM39,"Deficiency")+COUNTIF(AN39,"Deficiency")+COUNTIF(AO39,"Deficiency")+COUNTIF(AP39,"Deficiency"))&gt;0,"Deficiency",IF((COUNTIF(AM39,"On Hold")+COUNTIF(AN39,"On Hold")+COUNTIF(AO39,"On Hold")+COUNTIF(AP39,"On Hold"))&gt;0,"On Hold",IF((COUNTIF(AM39,"In Progress")+COUNTIF(AN39,"In Progress")+COUNTIF(AO39,"In Progress")+COUNTIF(AP39,"In Progress"))&gt;0,"In Progress",IF((COUNTIF(AM39,"Not Started")+COUNTIF(AN39,"Not Started")+COUNTIF(AO39,"Not Started")+COUNTIF(AP39,"Not Started"))=4,"Not Started","Complete"))))</f>
        <v/>
      </c>
      <c r="AS39" s="78" t="n"/>
      <c r="AT39" s="87" t="n"/>
      <c r="AU39" s="78" t="n"/>
      <c r="AV39" s="78" t="n"/>
      <c r="AW39" s="78" t="n"/>
      <c r="AX39" s="78" t="n"/>
    </row>
    <row r="40">
      <c r="A40" s="83" t="n">
        <v>3</v>
      </c>
      <c r="B40" s="83" t="n">
        <v>310</v>
      </c>
      <c r="C40" s="84" t="inlineStr">
        <is>
          <t>Not Started</t>
        </is>
      </c>
      <c r="D40" s="85" t="inlineStr"/>
      <c r="E40" s="84" t="inlineStr">
        <is>
          <t>Not Started</t>
        </is>
      </c>
      <c r="F40" s="85" t="inlineStr"/>
      <c r="G40" s="84" t="inlineStr">
        <is>
          <t>Not Started</t>
        </is>
      </c>
      <c r="H40" s="85" t="inlineStr"/>
      <c r="I40" s="84" t="inlineStr">
        <is>
          <t>Not Started</t>
        </is>
      </c>
      <c r="J40" s="85" t="inlineStr"/>
      <c r="K40" s="84" t="inlineStr">
        <is>
          <t>Not Started</t>
        </is>
      </c>
      <c r="L40" s="85" t="inlineStr"/>
      <c r="M40" s="84" t="inlineStr">
        <is>
          <t>Not Started</t>
        </is>
      </c>
      <c r="N40" s="85" t="inlineStr"/>
      <c r="O40" s="84" t="inlineStr">
        <is>
          <t>Not Started</t>
        </is>
      </c>
      <c r="P40" s="85" t="inlineStr"/>
      <c r="Q40" s="84" t="inlineStr">
        <is>
          <t>Not Started</t>
        </is>
      </c>
      <c r="R40" s="85" t="inlineStr"/>
      <c r="S40" s="84" t="inlineStr">
        <is>
          <t>Not Started</t>
        </is>
      </c>
      <c r="T40" s="85" t="inlineStr"/>
      <c r="U40" s="84" t="inlineStr">
        <is>
          <t>Not Started</t>
        </is>
      </c>
      <c r="V40" s="85" t="inlineStr"/>
      <c r="W40" s="84" t="inlineStr">
        <is>
          <t>Not Started</t>
        </is>
      </c>
      <c r="X40" s="85" t="inlineStr"/>
      <c r="Y40" s="84" t="inlineStr">
        <is>
          <t>Not Started</t>
        </is>
      </c>
      <c r="Z40" s="85" t="inlineStr"/>
      <c r="AA40" s="84" t="inlineStr">
        <is>
          <t>Not Started</t>
        </is>
      </c>
      <c r="AB40" s="85" t="inlineStr"/>
      <c r="AC40" s="84" t="inlineStr">
        <is>
          <t>Not Started</t>
        </is>
      </c>
      <c r="AD40" s="85" t="inlineStr"/>
      <c r="AE40" s="84" t="inlineStr">
        <is>
          <t>Not Started</t>
        </is>
      </c>
      <c r="AF40" s="85" t="inlineStr"/>
      <c r="AG40" s="84" t="inlineStr">
        <is>
          <t>Not Started</t>
        </is>
      </c>
      <c r="AH40" s="85" t="inlineStr"/>
      <c r="AI40" s="84" t="inlineStr">
        <is>
          <t>Not Started</t>
        </is>
      </c>
      <c r="AJ40" s="85" t="inlineStr"/>
      <c r="AK40" s="84" t="inlineStr">
        <is>
          <t>Not Started</t>
        </is>
      </c>
      <c r="AL40" s="85" t="inlineStr"/>
      <c r="AM40" s="86">
        <f>IF((COUNTIF(C40,"Deficiency")+COUNTIF(E40,"Deficiency")+COUNTIF(G40,"Deficiency")+COUNTIF(I40,"Deficiency")+COUNTIF(K40,"Deficiency")+COUNTIF(M40,"Deficiency"))&gt;0,"Deficiency",IF((COUNTIF(C40,"On Hold")+COUNTIF(E40,"On Hold")+COUNTIF(G40,"On Hold")+COUNTIF(I40,"On Hold")+COUNTIF(K40,"On Hold")+COUNTIF(M40,"On Hold"))&gt;0,"On Hold",IF((COUNTIF(C40,"In Progress")+COUNTIF(E40,"In Progress")+COUNTIF(G40,"In Progress")+COUNTIF(I40,"In Progress")+COUNTIF(K40,"In Progress")+COUNTIF(M40,"In Progress"))&gt;0,"In Progress",IF((COUNTIF(C40,"Not Started")+COUNTIF(E40,"Not Started")+COUNTIF(G40,"Not Started")+COUNTIF(I40,"Not Started")+COUNTIF(K40,"Not Started")+COUNTIF(M40,"Not Started"))=6,"Not Started","Complete"))))</f>
        <v/>
      </c>
      <c r="AN40" s="86">
        <f>IF((COUNTIF(O40,"Deficiency")+COUNTIF(Q40,"Deficiency"))&gt;0,"Deficiency",IF((COUNTIF(O40,"On Hold")+COUNTIF(Q40,"On Hold"))&gt;0,"On Hold",IF((COUNTIF(O40,"In Progress")+COUNTIF(Q40,"In Progress"))&gt;0,"In Progress",IF((COUNTIF(O40,"Not Started")+COUNTIF(Q40,"Not Started"))=2,"Not Started","Complete"))))</f>
        <v/>
      </c>
      <c r="AO40" s="86">
        <f>IF((COUNTIF(S40,"Deficiency")+COUNTIF(U40,"Deficiency")+COUNTIF(W40,"Deficiency")+COUNTIF(Y40,"Deficiency")+COUNTIF(AA40,"Deficiency")+COUNTIF(AC40,"Deficiency")+COUNTIF(AE40,"Deficiency")+COUNTIF(AG40,"Deficiency")+COUNTIF(AI40,"Deficiency"))&gt;0,"Deficiency",IF((COUNTIF(S40,"On Hold")+COUNTIF(U40,"On Hold")+COUNTIF(W40,"On Hold")+COUNTIF(Y40,"On Hold")+COUNTIF(AA40,"On Hold")+COUNTIF(AC40,"On Hold")+COUNTIF(AE40,"On Hold")+COUNTIF(AG40,"On Hold")+COUNTIF(AI40,"On Hold"))&gt;0,"On Hold",IF((COUNTIF(S40,"In Progress")+COUNTIF(U40,"In Progress")+COUNTIF(W40,"In Progress")+COUNTIF(Y40,"In Progress")+COUNTIF(AA40,"In Progress")+COUNTIF(AC40,"In Progress")+COUNTIF(AE40,"In Progress")+COUNTIF(AG40,"In Progress")+COUNTIF(AI40,"In Progress"))&gt;0,"In Progress",IF((COUNTIF(S40,"Not Started")+COUNTIF(U40,"Not Started")+COUNTIF(W40,"Not Started")+COUNTIF(Y40,"Not Started")+COUNTIF(AA40,"Not Started")+COUNTIF(AC40,"Not Started")+COUNTIF(AE40,"Not Started")+COUNTIF(AG40,"Not Started")+COUNTIF(AI40,"Not Started"))=9,"Not Started","Complete"))))</f>
        <v/>
      </c>
      <c r="AP40" s="86">
        <f>AK40</f>
        <v/>
      </c>
      <c r="AQ40" s="86" t="inlineStr"/>
      <c r="AR40" s="86">
        <f>IF((COUNTIF(AM40,"Deficiency")+COUNTIF(AN40,"Deficiency")+COUNTIF(AO40,"Deficiency")+COUNTIF(AP40,"Deficiency"))&gt;0,"Deficiency",IF((COUNTIF(AM40,"On Hold")+COUNTIF(AN40,"On Hold")+COUNTIF(AO40,"On Hold")+COUNTIF(AP40,"On Hold"))&gt;0,"On Hold",IF((COUNTIF(AM40,"In Progress")+COUNTIF(AN40,"In Progress")+COUNTIF(AO40,"In Progress")+COUNTIF(AP40,"In Progress"))&gt;0,"In Progress",IF((COUNTIF(AM40,"Not Started")+COUNTIF(AN40,"Not Started")+COUNTIF(AO40,"Not Started")+COUNTIF(AP40,"Not Started"))=4,"Not Started","Complete"))))</f>
        <v/>
      </c>
      <c r="AS40" s="78" t="n"/>
      <c r="AT40" s="87" t="n"/>
      <c r="AU40" s="78" t="n"/>
      <c r="AV40" s="78" t="n"/>
      <c r="AW40" s="78" t="n"/>
      <c r="AX40" s="78" t="n"/>
    </row>
    <row r="41">
      <c r="A41" s="83" t="n">
        <v>3</v>
      </c>
      <c r="B41" s="83" t="n">
        <v>311</v>
      </c>
      <c r="C41" s="84" t="inlineStr">
        <is>
          <t>Not Started</t>
        </is>
      </c>
      <c r="D41" s="85" t="inlineStr"/>
      <c r="E41" s="84" t="inlineStr">
        <is>
          <t>Not Started</t>
        </is>
      </c>
      <c r="F41" s="85" t="inlineStr"/>
      <c r="G41" s="84" t="inlineStr">
        <is>
          <t>Not Started</t>
        </is>
      </c>
      <c r="H41" s="85" t="inlineStr"/>
      <c r="I41" s="84" t="inlineStr">
        <is>
          <t>Not Started</t>
        </is>
      </c>
      <c r="J41" s="85" t="inlineStr"/>
      <c r="K41" s="84" t="inlineStr">
        <is>
          <t>Not Started</t>
        </is>
      </c>
      <c r="L41" s="85" t="inlineStr"/>
      <c r="M41" s="84" t="inlineStr">
        <is>
          <t>Not Started</t>
        </is>
      </c>
      <c r="N41" s="85" t="inlineStr"/>
      <c r="O41" s="84" t="inlineStr">
        <is>
          <t>Not Started</t>
        </is>
      </c>
      <c r="P41" s="85" t="inlineStr"/>
      <c r="Q41" s="84" t="inlineStr">
        <is>
          <t>Not Started</t>
        </is>
      </c>
      <c r="R41" s="85" t="inlineStr"/>
      <c r="S41" s="84" t="inlineStr">
        <is>
          <t>Not Started</t>
        </is>
      </c>
      <c r="T41" s="85" t="inlineStr"/>
      <c r="U41" s="84" t="inlineStr">
        <is>
          <t>Not Started</t>
        </is>
      </c>
      <c r="V41" s="85" t="inlineStr"/>
      <c r="W41" s="84" t="inlineStr">
        <is>
          <t>Not Started</t>
        </is>
      </c>
      <c r="X41" s="85" t="inlineStr"/>
      <c r="Y41" s="84" t="inlineStr">
        <is>
          <t>Not Started</t>
        </is>
      </c>
      <c r="Z41" s="85" t="inlineStr"/>
      <c r="AA41" s="84" t="inlineStr">
        <is>
          <t>Not Started</t>
        </is>
      </c>
      <c r="AB41" s="85" t="inlineStr"/>
      <c r="AC41" s="84" t="inlineStr">
        <is>
          <t>Not Started</t>
        </is>
      </c>
      <c r="AD41" s="85" t="inlineStr"/>
      <c r="AE41" s="84" t="inlineStr">
        <is>
          <t>Not Started</t>
        </is>
      </c>
      <c r="AF41" s="85" t="inlineStr"/>
      <c r="AG41" s="84" t="inlineStr">
        <is>
          <t>Not Started</t>
        </is>
      </c>
      <c r="AH41" s="85" t="inlineStr"/>
      <c r="AI41" s="84" t="inlineStr">
        <is>
          <t>Not Started</t>
        </is>
      </c>
      <c r="AJ41" s="85" t="inlineStr"/>
      <c r="AK41" s="84" t="inlineStr">
        <is>
          <t>Not Started</t>
        </is>
      </c>
      <c r="AL41" s="85" t="inlineStr"/>
      <c r="AM41" s="86">
        <f>IF((COUNTIF(C41,"Deficiency")+COUNTIF(E41,"Deficiency")+COUNTIF(G41,"Deficiency")+COUNTIF(I41,"Deficiency")+COUNTIF(K41,"Deficiency")+COUNTIF(M41,"Deficiency"))&gt;0,"Deficiency",IF((COUNTIF(C41,"On Hold")+COUNTIF(E41,"On Hold")+COUNTIF(G41,"On Hold")+COUNTIF(I41,"On Hold")+COUNTIF(K41,"On Hold")+COUNTIF(M41,"On Hold"))&gt;0,"On Hold",IF((COUNTIF(C41,"In Progress")+COUNTIF(E41,"In Progress")+COUNTIF(G41,"In Progress")+COUNTIF(I41,"In Progress")+COUNTIF(K41,"In Progress")+COUNTIF(M41,"In Progress"))&gt;0,"In Progress",IF((COUNTIF(C41,"Not Started")+COUNTIF(E41,"Not Started")+COUNTIF(G41,"Not Started")+COUNTIF(I41,"Not Started")+COUNTIF(K41,"Not Started")+COUNTIF(M41,"Not Started"))=6,"Not Started","Complete"))))</f>
        <v/>
      </c>
      <c r="AN41" s="86">
        <f>IF((COUNTIF(O41,"Deficiency")+COUNTIF(Q41,"Deficiency"))&gt;0,"Deficiency",IF((COUNTIF(O41,"On Hold")+COUNTIF(Q41,"On Hold"))&gt;0,"On Hold",IF((COUNTIF(O41,"In Progress")+COUNTIF(Q41,"In Progress"))&gt;0,"In Progress",IF((COUNTIF(O41,"Not Started")+COUNTIF(Q41,"Not Started"))=2,"Not Started","Complete"))))</f>
        <v/>
      </c>
      <c r="AO41" s="86">
        <f>IF((COUNTIF(S41,"Deficiency")+COUNTIF(U41,"Deficiency")+COUNTIF(W41,"Deficiency")+COUNTIF(Y41,"Deficiency")+COUNTIF(AA41,"Deficiency")+COUNTIF(AC41,"Deficiency")+COUNTIF(AE41,"Deficiency")+COUNTIF(AG41,"Deficiency")+COUNTIF(AI41,"Deficiency"))&gt;0,"Deficiency",IF((COUNTIF(S41,"On Hold")+COUNTIF(U41,"On Hold")+COUNTIF(W41,"On Hold")+COUNTIF(Y41,"On Hold")+COUNTIF(AA41,"On Hold")+COUNTIF(AC41,"On Hold")+COUNTIF(AE41,"On Hold")+COUNTIF(AG41,"On Hold")+COUNTIF(AI41,"On Hold"))&gt;0,"On Hold",IF((COUNTIF(S41,"In Progress")+COUNTIF(U41,"In Progress")+COUNTIF(W41,"In Progress")+COUNTIF(Y41,"In Progress")+COUNTIF(AA41,"In Progress")+COUNTIF(AC41,"In Progress")+COUNTIF(AE41,"In Progress")+COUNTIF(AG41,"In Progress")+COUNTIF(AI41,"In Progress"))&gt;0,"In Progress",IF((COUNTIF(S41,"Not Started")+COUNTIF(U41,"Not Started")+COUNTIF(W41,"Not Started")+COUNTIF(Y41,"Not Started")+COUNTIF(AA41,"Not Started")+COUNTIF(AC41,"Not Started")+COUNTIF(AE41,"Not Started")+COUNTIF(AG41,"Not Started")+COUNTIF(AI41,"Not Started"))=9,"Not Started","Complete"))))</f>
        <v/>
      </c>
      <c r="AP41" s="86">
        <f>AK41</f>
        <v/>
      </c>
      <c r="AQ41" s="86" t="inlineStr"/>
      <c r="AR41" s="86">
        <f>IF((COUNTIF(AM41,"Deficiency")+COUNTIF(AN41,"Deficiency")+COUNTIF(AO41,"Deficiency")+COUNTIF(AP41,"Deficiency"))&gt;0,"Deficiency",IF((COUNTIF(AM41,"On Hold")+COUNTIF(AN41,"On Hold")+COUNTIF(AO41,"On Hold")+COUNTIF(AP41,"On Hold"))&gt;0,"On Hold",IF((COUNTIF(AM41,"In Progress")+COUNTIF(AN41,"In Progress")+COUNTIF(AO41,"In Progress")+COUNTIF(AP41,"In Progress"))&gt;0,"In Progress",IF((COUNTIF(AM41,"Not Started")+COUNTIF(AN41,"Not Started")+COUNTIF(AO41,"Not Started")+COUNTIF(AP41,"Not Started"))=4,"Not Started","Complete"))))</f>
        <v/>
      </c>
      <c r="AS41" s="78" t="n"/>
      <c r="AT41" s="87" t="n"/>
      <c r="AU41" s="78" t="n"/>
      <c r="AV41" s="78" t="n"/>
      <c r="AW41" s="78" t="n"/>
      <c r="AX41" s="78" t="n"/>
    </row>
    <row r="42" ht="15.75" customHeight="1" s="23" thickBot="1">
      <c r="A42" s="83" t="n">
        <v>3</v>
      </c>
      <c r="B42" s="83" t="n">
        <v>312</v>
      </c>
      <c r="C42" s="84" t="inlineStr">
        <is>
          <t>Not Started</t>
        </is>
      </c>
      <c r="D42" s="85" t="inlineStr"/>
      <c r="E42" s="84" t="inlineStr">
        <is>
          <t>Not Started</t>
        </is>
      </c>
      <c r="F42" s="85" t="inlineStr"/>
      <c r="G42" s="84" t="inlineStr">
        <is>
          <t>Not Started</t>
        </is>
      </c>
      <c r="H42" s="85" t="inlineStr"/>
      <c r="I42" s="84" t="inlineStr">
        <is>
          <t>Not Started</t>
        </is>
      </c>
      <c r="J42" s="85" t="inlineStr"/>
      <c r="K42" s="84" t="inlineStr">
        <is>
          <t>Not Started</t>
        </is>
      </c>
      <c r="L42" s="85" t="inlineStr"/>
      <c r="M42" s="84" t="inlineStr">
        <is>
          <t>Not Started</t>
        </is>
      </c>
      <c r="N42" s="85" t="inlineStr"/>
      <c r="O42" s="84" t="inlineStr">
        <is>
          <t>Not Started</t>
        </is>
      </c>
      <c r="P42" s="85" t="inlineStr"/>
      <c r="Q42" s="84" t="inlineStr">
        <is>
          <t>Not Started</t>
        </is>
      </c>
      <c r="R42" s="85" t="inlineStr"/>
      <c r="S42" s="84" t="inlineStr">
        <is>
          <t>Not Started</t>
        </is>
      </c>
      <c r="T42" s="85" t="inlineStr"/>
      <c r="U42" s="84" t="inlineStr">
        <is>
          <t>Not Started</t>
        </is>
      </c>
      <c r="V42" s="85" t="inlineStr"/>
      <c r="W42" s="84" t="inlineStr">
        <is>
          <t>Not Started</t>
        </is>
      </c>
      <c r="X42" s="85" t="inlineStr"/>
      <c r="Y42" s="84" t="inlineStr">
        <is>
          <t>Not Started</t>
        </is>
      </c>
      <c r="Z42" s="85" t="inlineStr"/>
      <c r="AA42" s="84" t="inlineStr">
        <is>
          <t>Not Started</t>
        </is>
      </c>
      <c r="AB42" s="85" t="inlineStr"/>
      <c r="AC42" s="84" t="inlineStr">
        <is>
          <t>Not Started</t>
        </is>
      </c>
      <c r="AD42" s="85" t="inlineStr"/>
      <c r="AE42" s="84" t="inlineStr">
        <is>
          <t>Not Started</t>
        </is>
      </c>
      <c r="AF42" s="85" t="inlineStr"/>
      <c r="AG42" s="84" t="inlineStr">
        <is>
          <t>Not Started</t>
        </is>
      </c>
      <c r="AH42" s="85" t="inlineStr"/>
      <c r="AI42" s="84" t="inlineStr">
        <is>
          <t>Not Started</t>
        </is>
      </c>
      <c r="AJ42" s="85" t="inlineStr"/>
      <c r="AK42" s="84" t="inlineStr">
        <is>
          <t>Not Started</t>
        </is>
      </c>
      <c r="AL42" s="85" t="inlineStr"/>
      <c r="AM42" s="86">
        <f>IF((COUNTIF(C42,"Deficiency")+COUNTIF(E42,"Deficiency")+COUNTIF(G42,"Deficiency")+COUNTIF(I42,"Deficiency")+COUNTIF(K42,"Deficiency")+COUNTIF(M42,"Deficiency"))&gt;0,"Deficiency",IF((COUNTIF(C42,"On Hold")+COUNTIF(E42,"On Hold")+COUNTIF(G42,"On Hold")+COUNTIF(I42,"On Hold")+COUNTIF(K42,"On Hold")+COUNTIF(M42,"On Hold"))&gt;0,"On Hold",IF((COUNTIF(C42,"In Progress")+COUNTIF(E42,"In Progress")+COUNTIF(G42,"In Progress")+COUNTIF(I42,"In Progress")+COUNTIF(K42,"In Progress")+COUNTIF(M42,"In Progress"))&gt;0,"In Progress",IF((COUNTIF(C42,"Not Started")+COUNTIF(E42,"Not Started")+COUNTIF(G42,"Not Started")+COUNTIF(I42,"Not Started")+COUNTIF(K42,"Not Started")+COUNTIF(M42,"Not Started"))=6,"Not Started","Complete"))))</f>
        <v/>
      </c>
      <c r="AN42" s="86">
        <f>IF((COUNTIF(O42,"Deficiency")+COUNTIF(Q42,"Deficiency"))&gt;0,"Deficiency",IF((COUNTIF(O42,"On Hold")+COUNTIF(Q42,"On Hold"))&gt;0,"On Hold",IF((COUNTIF(O42,"In Progress")+COUNTIF(Q42,"In Progress"))&gt;0,"In Progress",IF((COUNTIF(O42,"Not Started")+COUNTIF(Q42,"Not Started"))=2,"Not Started","Complete"))))</f>
        <v/>
      </c>
      <c r="AO42" s="86">
        <f>IF((COUNTIF(S42,"Deficiency")+COUNTIF(U42,"Deficiency")+COUNTIF(W42,"Deficiency")+COUNTIF(Y42,"Deficiency")+COUNTIF(AA42,"Deficiency")+COUNTIF(AC42,"Deficiency")+COUNTIF(AE42,"Deficiency")+COUNTIF(AG42,"Deficiency")+COUNTIF(AI42,"Deficiency"))&gt;0,"Deficiency",IF((COUNTIF(S42,"On Hold")+COUNTIF(U42,"On Hold")+COUNTIF(W42,"On Hold")+COUNTIF(Y42,"On Hold")+COUNTIF(AA42,"On Hold")+COUNTIF(AC42,"On Hold")+COUNTIF(AE42,"On Hold")+COUNTIF(AG42,"On Hold")+COUNTIF(AI42,"On Hold"))&gt;0,"On Hold",IF((COUNTIF(S42,"In Progress")+COUNTIF(U42,"In Progress")+COUNTIF(W42,"In Progress")+COUNTIF(Y42,"In Progress")+COUNTIF(AA42,"In Progress")+COUNTIF(AC42,"In Progress")+COUNTIF(AE42,"In Progress")+COUNTIF(AG42,"In Progress")+COUNTIF(AI42,"In Progress"))&gt;0,"In Progress",IF((COUNTIF(S42,"Not Started")+COUNTIF(U42,"Not Started")+COUNTIF(W42,"Not Started")+COUNTIF(Y42,"Not Started")+COUNTIF(AA42,"Not Started")+COUNTIF(AC42,"Not Started")+COUNTIF(AE42,"Not Started")+COUNTIF(AG42,"Not Started")+COUNTIF(AI42,"Not Started"))=9,"Not Started","Complete"))))</f>
        <v/>
      </c>
      <c r="AP42" s="86">
        <f>AK42</f>
        <v/>
      </c>
      <c r="AQ42" s="86" t="inlineStr"/>
      <c r="AR42" s="86">
        <f>IF((COUNTIF(AM42,"Deficiency")+COUNTIF(AN42,"Deficiency")+COUNTIF(AO42,"Deficiency")+COUNTIF(AP42,"Deficiency"))&gt;0,"Deficiency",IF((COUNTIF(AM42,"On Hold")+COUNTIF(AN42,"On Hold")+COUNTIF(AO42,"On Hold")+COUNTIF(AP42,"On Hold"))&gt;0,"On Hold",IF((COUNTIF(AM42,"In Progress")+COUNTIF(AN42,"In Progress")+COUNTIF(AO42,"In Progress")+COUNTIF(AP42,"In Progress"))&gt;0,"In Progress",IF((COUNTIF(AM42,"Not Started")+COUNTIF(AN42,"Not Started")+COUNTIF(AO42,"Not Started")+COUNTIF(AP42,"Not Started"))=4,"Not Started","Complete"))))</f>
        <v/>
      </c>
      <c r="AS42" s="78" t="n"/>
      <c r="AT42" s="87" t="n"/>
      <c r="AU42" s="78" t="n"/>
      <c r="AV42" s="78" t="n"/>
      <c r="AW42" s="78" t="n"/>
      <c r="AX42" s="78" t="n"/>
    </row>
  </sheetData>
  <autoFilter ref="A6:AT6"/>
  <mergeCells count="29">
    <mergeCell ref="AM4:AP4"/>
    <mergeCell ref="C5:D5"/>
    <mergeCell ref="E5:F5"/>
    <mergeCell ref="K5:L5"/>
    <mergeCell ref="M5:N5"/>
    <mergeCell ref="A1:B1"/>
    <mergeCell ref="W5:X5"/>
    <mergeCell ref="AK4:AL4"/>
    <mergeCell ref="A4:B5"/>
    <mergeCell ref="O5:P5"/>
    <mergeCell ref="Q5:R5"/>
    <mergeCell ref="Y5:Z5"/>
    <mergeCell ref="AA5:AB5"/>
    <mergeCell ref="AC5:AD5"/>
    <mergeCell ref="AK5:AL5"/>
    <mergeCell ref="A2:B2"/>
    <mergeCell ref="C1:AT1"/>
    <mergeCell ref="G5:H5"/>
    <mergeCell ref="I5:J5"/>
    <mergeCell ref="S4:AJ4"/>
    <mergeCell ref="AQ4:AR4"/>
    <mergeCell ref="O4:R4"/>
    <mergeCell ref="C2:AT2"/>
    <mergeCell ref="S5:T5"/>
    <mergeCell ref="U5:V5"/>
    <mergeCell ref="AE5:AF5"/>
    <mergeCell ref="AG5:AH5"/>
    <mergeCell ref="AI5:AJ5"/>
    <mergeCell ref="C4:N4"/>
  </mergeCells>
  <conditionalFormatting sqref="C7:C42">
    <cfRule type="cellIs" priority="1" operator="equal" dxfId="4">
      <formula>"Not Started"</formula>
    </cfRule>
    <cfRule type="cellIs" priority="2" operator="equal" dxfId="3">
      <formula>"In Progress"</formula>
    </cfRule>
    <cfRule type="cellIs" priority="3" operator="equal" dxfId="2">
      <formula>"Complete"</formula>
    </cfRule>
    <cfRule type="cellIs" priority="4" operator="equal" dxfId="1">
      <formula>"Deficiency"</formula>
    </cfRule>
    <cfRule type="cellIs" priority="5" operator="equal" dxfId="0">
      <formula>"On Hold"</formula>
    </cfRule>
    <cfRule type="cellIs" priority="106" operator="equal" dxfId="105">
      <formula>"Not Started"</formula>
    </cfRule>
    <cfRule type="cellIs" priority="107" operator="equal" dxfId="106">
      <formula>"In Progress"</formula>
    </cfRule>
    <cfRule type="cellIs" priority="108" operator="equal" dxfId="107">
      <formula>"Complete"</formula>
    </cfRule>
    <cfRule type="cellIs" priority="109" operator="equal" dxfId="108">
      <formula>"Deficiency"</formula>
    </cfRule>
    <cfRule type="cellIs" priority="110" operator="equal" dxfId="109">
      <formula>"On Hold"</formula>
    </cfRule>
  </conditionalFormatting>
  <conditionalFormatting sqref="E7:E42">
    <cfRule type="cellIs" priority="6" operator="equal" dxfId="4">
      <formula>"Not Started"</formula>
    </cfRule>
    <cfRule type="cellIs" priority="7" operator="equal" dxfId="3">
      <formula>"In Progress"</formula>
    </cfRule>
    <cfRule type="cellIs" priority="8" operator="equal" dxfId="2">
      <formula>"Complete"</formula>
    </cfRule>
    <cfRule type="cellIs" priority="9" operator="equal" dxfId="1">
      <formula>"Deficiency"</formula>
    </cfRule>
    <cfRule type="cellIs" priority="10" operator="equal" dxfId="0">
      <formula>"On Hold"</formula>
    </cfRule>
    <cfRule type="cellIs" priority="111" operator="equal" dxfId="105">
      <formula>"Not Started"</formula>
    </cfRule>
    <cfRule type="cellIs" priority="112" operator="equal" dxfId="106">
      <formula>"In Progress"</formula>
    </cfRule>
    <cfRule type="cellIs" priority="113" operator="equal" dxfId="107">
      <formula>"Complete"</formula>
    </cfRule>
    <cfRule type="cellIs" priority="114" operator="equal" dxfId="108">
      <formula>"Deficiency"</formula>
    </cfRule>
    <cfRule type="cellIs" priority="115" operator="equal" dxfId="109">
      <formula>"On Hold"</formula>
    </cfRule>
  </conditionalFormatting>
  <conditionalFormatting sqref="G7:G42">
    <cfRule type="cellIs" priority="11" operator="equal" dxfId="4">
      <formula>"Not Started"</formula>
    </cfRule>
    <cfRule type="cellIs" priority="12" operator="equal" dxfId="3">
      <formula>"In Progress"</formula>
    </cfRule>
    <cfRule type="cellIs" priority="13" operator="equal" dxfId="2">
      <formula>"Complete"</formula>
    </cfRule>
    <cfRule type="cellIs" priority="14" operator="equal" dxfId="1">
      <formula>"Deficiency"</formula>
    </cfRule>
    <cfRule type="cellIs" priority="15" operator="equal" dxfId="0">
      <formula>"On Hold"</formula>
    </cfRule>
    <cfRule type="cellIs" priority="116" operator="equal" dxfId="105">
      <formula>"Not Started"</formula>
    </cfRule>
    <cfRule type="cellIs" priority="117" operator="equal" dxfId="106">
      <formula>"In Progress"</formula>
    </cfRule>
    <cfRule type="cellIs" priority="118" operator="equal" dxfId="107">
      <formula>"Complete"</formula>
    </cfRule>
    <cfRule type="cellIs" priority="119" operator="equal" dxfId="108">
      <formula>"Deficiency"</formula>
    </cfRule>
    <cfRule type="cellIs" priority="120" operator="equal" dxfId="109">
      <formula>"On Hold"</formula>
    </cfRule>
  </conditionalFormatting>
  <conditionalFormatting sqref="I7:I42">
    <cfRule type="cellIs" priority="16" operator="equal" dxfId="4">
      <formula>"Not Started"</formula>
    </cfRule>
    <cfRule type="cellIs" priority="17" operator="equal" dxfId="3">
      <formula>"In Progress"</formula>
    </cfRule>
    <cfRule type="cellIs" priority="18" operator="equal" dxfId="2">
      <formula>"Complete"</formula>
    </cfRule>
    <cfRule type="cellIs" priority="19" operator="equal" dxfId="1">
      <formula>"Deficiency"</formula>
    </cfRule>
    <cfRule type="cellIs" priority="20" operator="equal" dxfId="0">
      <formula>"On Hold"</formula>
    </cfRule>
    <cfRule type="cellIs" priority="121" operator="equal" dxfId="105">
      <formula>"Not Started"</formula>
    </cfRule>
    <cfRule type="cellIs" priority="122" operator="equal" dxfId="106">
      <formula>"In Progress"</formula>
    </cfRule>
    <cfRule type="cellIs" priority="123" operator="equal" dxfId="107">
      <formula>"Complete"</formula>
    </cfRule>
    <cfRule type="cellIs" priority="124" operator="equal" dxfId="108">
      <formula>"Deficiency"</formula>
    </cfRule>
    <cfRule type="cellIs" priority="125" operator="equal" dxfId="109">
      <formula>"On Hold"</formula>
    </cfRule>
  </conditionalFormatting>
  <conditionalFormatting sqref="K7:K42">
    <cfRule type="cellIs" priority="21" operator="equal" dxfId="4">
      <formula>"Not Started"</formula>
    </cfRule>
    <cfRule type="cellIs" priority="22" operator="equal" dxfId="3">
      <formula>"In Progress"</formula>
    </cfRule>
    <cfRule type="cellIs" priority="23" operator="equal" dxfId="2">
      <formula>"Complete"</formula>
    </cfRule>
    <cfRule type="cellIs" priority="24" operator="equal" dxfId="1">
      <formula>"Deficiency"</formula>
    </cfRule>
    <cfRule type="cellIs" priority="25" operator="equal" dxfId="0">
      <formula>"On Hold"</formula>
    </cfRule>
    <cfRule type="cellIs" priority="126" operator="equal" dxfId="105">
      <formula>"Not Started"</formula>
    </cfRule>
    <cfRule type="cellIs" priority="127" operator="equal" dxfId="106">
      <formula>"In Progress"</formula>
    </cfRule>
    <cfRule type="cellIs" priority="128" operator="equal" dxfId="107">
      <formula>"Complete"</formula>
    </cfRule>
    <cfRule type="cellIs" priority="129" operator="equal" dxfId="108">
      <formula>"Deficiency"</formula>
    </cfRule>
    <cfRule type="cellIs" priority="130" operator="equal" dxfId="109">
      <formula>"On Hold"</formula>
    </cfRule>
  </conditionalFormatting>
  <conditionalFormatting sqref="M7:M42">
    <cfRule type="cellIs" priority="26" operator="equal" dxfId="4">
      <formula>"Not Started"</formula>
    </cfRule>
    <cfRule type="cellIs" priority="27" operator="equal" dxfId="3">
      <formula>"In Progress"</formula>
    </cfRule>
    <cfRule type="cellIs" priority="28" operator="equal" dxfId="2">
      <formula>"Complete"</formula>
    </cfRule>
    <cfRule type="cellIs" priority="29" operator="equal" dxfId="1">
      <formula>"Deficiency"</formula>
    </cfRule>
    <cfRule type="cellIs" priority="30" operator="equal" dxfId="0">
      <formula>"On Hold"</formula>
    </cfRule>
    <cfRule type="cellIs" priority="131" operator="equal" dxfId="105">
      <formula>"Not Started"</formula>
    </cfRule>
    <cfRule type="cellIs" priority="132" operator="equal" dxfId="106">
      <formula>"In Progress"</formula>
    </cfRule>
    <cfRule type="cellIs" priority="133" operator="equal" dxfId="107">
      <formula>"Complete"</formula>
    </cfRule>
    <cfRule type="cellIs" priority="134" operator="equal" dxfId="108">
      <formula>"Deficiency"</formula>
    </cfRule>
    <cfRule type="cellIs" priority="135" operator="equal" dxfId="109">
      <formula>"On Hold"</formula>
    </cfRule>
  </conditionalFormatting>
  <conditionalFormatting sqref="O7:O42">
    <cfRule type="cellIs" priority="31" operator="equal" dxfId="4">
      <formula>"Not Started"</formula>
    </cfRule>
    <cfRule type="cellIs" priority="32" operator="equal" dxfId="3">
      <formula>"In Progress"</formula>
    </cfRule>
    <cfRule type="cellIs" priority="33" operator="equal" dxfId="2">
      <formula>"Complete"</formula>
    </cfRule>
    <cfRule type="cellIs" priority="34" operator="equal" dxfId="1">
      <formula>"Deficiency"</formula>
    </cfRule>
    <cfRule type="cellIs" priority="35" operator="equal" dxfId="0">
      <formula>"On Hold"</formula>
    </cfRule>
    <cfRule type="cellIs" priority="136" operator="equal" dxfId="105">
      <formula>"Not Started"</formula>
    </cfRule>
    <cfRule type="cellIs" priority="137" operator="equal" dxfId="106">
      <formula>"In Progress"</formula>
    </cfRule>
    <cfRule type="cellIs" priority="138" operator="equal" dxfId="107">
      <formula>"Complete"</formula>
    </cfRule>
    <cfRule type="cellIs" priority="139" operator="equal" dxfId="108">
      <formula>"Deficiency"</formula>
    </cfRule>
    <cfRule type="cellIs" priority="140" operator="equal" dxfId="109">
      <formula>"On Hold"</formula>
    </cfRule>
  </conditionalFormatting>
  <conditionalFormatting sqref="Q7:Q42">
    <cfRule type="cellIs" priority="36" operator="equal" dxfId="4">
      <formula>"Not Started"</formula>
    </cfRule>
    <cfRule type="cellIs" priority="37" operator="equal" dxfId="3">
      <formula>"In Progress"</formula>
    </cfRule>
    <cfRule type="cellIs" priority="38" operator="equal" dxfId="2">
      <formula>"Complete"</formula>
    </cfRule>
    <cfRule type="cellIs" priority="39" operator="equal" dxfId="1">
      <formula>"Deficiency"</formula>
    </cfRule>
    <cfRule type="cellIs" priority="40" operator="equal" dxfId="0">
      <formula>"On Hold"</formula>
    </cfRule>
    <cfRule type="cellIs" priority="141" operator="equal" dxfId="105">
      <formula>"Not Started"</formula>
    </cfRule>
    <cfRule type="cellIs" priority="142" operator="equal" dxfId="106">
      <formula>"In Progress"</formula>
    </cfRule>
    <cfRule type="cellIs" priority="143" operator="equal" dxfId="107">
      <formula>"Complete"</formula>
    </cfRule>
    <cfRule type="cellIs" priority="144" operator="equal" dxfId="108">
      <formula>"Deficiency"</formula>
    </cfRule>
    <cfRule type="cellIs" priority="145" operator="equal" dxfId="109">
      <formula>"On Hold"</formula>
    </cfRule>
  </conditionalFormatting>
  <conditionalFormatting sqref="S7:S42">
    <cfRule type="cellIs" priority="41" operator="equal" dxfId="4">
      <formula>"Not Started"</formula>
    </cfRule>
    <cfRule type="cellIs" priority="42" operator="equal" dxfId="3">
      <formula>"In Progress"</formula>
    </cfRule>
    <cfRule type="cellIs" priority="43" operator="equal" dxfId="2">
      <formula>"Complete"</formula>
    </cfRule>
    <cfRule type="cellIs" priority="44" operator="equal" dxfId="1">
      <formula>"Deficiency"</formula>
    </cfRule>
    <cfRule type="cellIs" priority="45" operator="equal" dxfId="0">
      <formula>"On Hold"</formula>
    </cfRule>
    <cfRule type="cellIs" priority="146" operator="equal" dxfId="105">
      <formula>"Not Started"</formula>
    </cfRule>
    <cfRule type="cellIs" priority="147" operator="equal" dxfId="106">
      <formula>"In Progress"</formula>
    </cfRule>
    <cfRule type="cellIs" priority="148" operator="equal" dxfId="107">
      <formula>"Complete"</formula>
    </cfRule>
    <cfRule type="cellIs" priority="149" operator="equal" dxfId="108">
      <formula>"Deficiency"</formula>
    </cfRule>
    <cfRule type="cellIs" priority="150" operator="equal" dxfId="109">
      <formula>"On Hold"</formula>
    </cfRule>
  </conditionalFormatting>
  <conditionalFormatting sqref="U7:U42">
    <cfRule type="cellIs" priority="46" operator="equal" dxfId="4">
      <formula>"Not Started"</formula>
    </cfRule>
    <cfRule type="cellIs" priority="47" operator="equal" dxfId="3">
      <formula>"In Progress"</formula>
    </cfRule>
    <cfRule type="cellIs" priority="48" operator="equal" dxfId="2">
      <formula>"Complete"</formula>
    </cfRule>
    <cfRule type="cellIs" priority="49" operator="equal" dxfId="1">
      <formula>"Deficiency"</formula>
    </cfRule>
    <cfRule type="cellIs" priority="50" operator="equal" dxfId="0">
      <formula>"On Hold"</formula>
    </cfRule>
    <cfRule type="cellIs" priority="151" operator="equal" dxfId="105">
      <formula>"Not Started"</formula>
    </cfRule>
    <cfRule type="cellIs" priority="152" operator="equal" dxfId="106">
      <formula>"In Progress"</formula>
    </cfRule>
    <cfRule type="cellIs" priority="153" operator="equal" dxfId="107">
      <formula>"Complete"</formula>
    </cfRule>
    <cfRule type="cellIs" priority="154" operator="equal" dxfId="108">
      <formula>"Deficiency"</formula>
    </cfRule>
    <cfRule type="cellIs" priority="155" operator="equal" dxfId="109">
      <formula>"On Hold"</formula>
    </cfRule>
  </conditionalFormatting>
  <conditionalFormatting sqref="W7:W42">
    <cfRule type="cellIs" priority="51" operator="equal" dxfId="4">
      <formula>"Not Started"</formula>
    </cfRule>
    <cfRule type="cellIs" priority="52" operator="equal" dxfId="3">
      <formula>"In Progress"</formula>
    </cfRule>
    <cfRule type="cellIs" priority="53" operator="equal" dxfId="2">
      <formula>"Complete"</formula>
    </cfRule>
    <cfRule type="cellIs" priority="54" operator="equal" dxfId="1">
      <formula>"Deficiency"</formula>
    </cfRule>
    <cfRule type="cellIs" priority="55" operator="equal" dxfId="0">
      <formula>"On Hold"</formula>
    </cfRule>
    <cfRule type="cellIs" priority="156" operator="equal" dxfId="105">
      <formula>"Not Started"</formula>
    </cfRule>
    <cfRule type="cellIs" priority="157" operator="equal" dxfId="106">
      <formula>"In Progress"</formula>
    </cfRule>
    <cfRule type="cellIs" priority="158" operator="equal" dxfId="107">
      <formula>"Complete"</formula>
    </cfRule>
    <cfRule type="cellIs" priority="159" operator="equal" dxfId="108">
      <formula>"Deficiency"</formula>
    </cfRule>
    <cfRule type="cellIs" priority="160" operator="equal" dxfId="109">
      <formula>"On Hold"</formula>
    </cfRule>
  </conditionalFormatting>
  <conditionalFormatting sqref="Y7:Y42">
    <cfRule type="cellIs" priority="56" operator="equal" dxfId="4">
      <formula>"Not Started"</formula>
    </cfRule>
    <cfRule type="cellIs" priority="57" operator="equal" dxfId="3">
      <formula>"In Progress"</formula>
    </cfRule>
    <cfRule type="cellIs" priority="58" operator="equal" dxfId="2">
      <formula>"Complete"</formula>
    </cfRule>
    <cfRule type="cellIs" priority="59" operator="equal" dxfId="1">
      <formula>"Deficiency"</formula>
    </cfRule>
    <cfRule type="cellIs" priority="60" operator="equal" dxfId="0">
      <formula>"On Hold"</formula>
    </cfRule>
    <cfRule type="cellIs" priority="161" operator="equal" dxfId="105">
      <formula>"Not Started"</formula>
    </cfRule>
    <cfRule type="cellIs" priority="162" operator="equal" dxfId="106">
      <formula>"In Progress"</formula>
    </cfRule>
    <cfRule type="cellIs" priority="163" operator="equal" dxfId="107">
      <formula>"Complete"</formula>
    </cfRule>
    <cfRule type="cellIs" priority="164" operator="equal" dxfId="108">
      <formula>"Deficiency"</formula>
    </cfRule>
    <cfRule type="cellIs" priority="165" operator="equal" dxfId="109">
      <formula>"On Hold"</formula>
    </cfRule>
  </conditionalFormatting>
  <conditionalFormatting sqref="AA7:AA42">
    <cfRule type="cellIs" priority="61" operator="equal" dxfId="4">
      <formula>"Not Started"</formula>
    </cfRule>
    <cfRule type="cellIs" priority="62" operator="equal" dxfId="3">
      <formula>"In Progress"</formula>
    </cfRule>
    <cfRule type="cellIs" priority="63" operator="equal" dxfId="2">
      <formula>"Complete"</formula>
    </cfRule>
    <cfRule type="cellIs" priority="64" operator="equal" dxfId="1">
      <formula>"Deficiency"</formula>
    </cfRule>
    <cfRule type="cellIs" priority="65" operator="equal" dxfId="0">
      <formula>"On Hold"</formula>
    </cfRule>
    <cfRule type="cellIs" priority="166" operator="equal" dxfId="105">
      <formula>"Not Started"</formula>
    </cfRule>
    <cfRule type="cellIs" priority="167" operator="equal" dxfId="106">
      <formula>"In Progress"</formula>
    </cfRule>
    <cfRule type="cellIs" priority="168" operator="equal" dxfId="107">
      <formula>"Complete"</formula>
    </cfRule>
    <cfRule type="cellIs" priority="169" operator="equal" dxfId="108">
      <formula>"Deficiency"</formula>
    </cfRule>
    <cfRule type="cellIs" priority="170" operator="equal" dxfId="109">
      <formula>"On Hold"</formula>
    </cfRule>
  </conditionalFormatting>
  <conditionalFormatting sqref="AC7:AC42">
    <cfRule type="cellIs" priority="66" operator="equal" dxfId="4">
      <formula>"Not Started"</formula>
    </cfRule>
    <cfRule type="cellIs" priority="67" operator="equal" dxfId="3">
      <formula>"In Progress"</formula>
    </cfRule>
    <cfRule type="cellIs" priority="68" operator="equal" dxfId="2">
      <formula>"Complete"</formula>
    </cfRule>
    <cfRule type="cellIs" priority="69" operator="equal" dxfId="1">
      <formula>"Deficiency"</formula>
    </cfRule>
    <cfRule type="cellIs" priority="70" operator="equal" dxfId="0">
      <formula>"On Hold"</formula>
    </cfRule>
    <cfRule type="cellIs" priority="171" operator="equal" dxfId="105">
      <formula>"Not Started"</formula>
    </cfRule>
    <cfRule type="cellIs" priority="172" operator="equal" dxfId="106">
      <formula>"In Progress"</formula>
    </cfRule>
    <cfRule type="cellIs" priority="173" operator="equal" dxfId="107">
      <formula>"Complete"</formula>
    </cfRule>
    <cfRule type="cellIs" priority="174" operator="equal" dxfId="108">
      <formula>"Deficiency"</formula>
    </cfRule>
    <cfRule type="cellIs" priority="175" operator="equal" dxfId="109">
      <formula>"On Hold"</formula>
    </cfRule>
  </conditionalFormatting>
  <conditionalFormatting sqref="AE7:AE42">
    <cfRule type="cellIs" priority="71" operator="equal" dxfId="4">
      <formula>"Not Started"</formula>
    </cfRule>
    <cfRule type="cellIs" priority="72" operator="equal" dxfId="3">
      <formula>"In Progress"</formula>
    </cfRule>
    <cfRule type="cellIs" priority="73" operator="equal" dxfId="2">
      <formula>"Complete"</formula>
    </cfRule>
    <cfRule type="cellIs" priority="74" operator="equal" dxfId="1">
      <formula>"Deficiency"</formula>
    </cfRule>
    <cfRule type="cellIs" priority="75" operator="equal" dxfId="0">
      <formula>"On Hold"</formula>
    </cfRule>
    <cfRule type="cellIs" priority="176" operator="equal" dxfId="105">
      <formula>"Not Started"</formula>
    </cfRule>
    <cfRule type="cellIs" priority="177" operator="equal" dxfId="106">
      <formula>"In Progress"</formula>
    </cfRule>
    <cfRule type="cellIs" priority="178" operator="equal" dxfId="107">
      <formula>"Complete"</formula>
    </cfRule>
    <cfRule type="cellIs" priority="179" operator="equal" dxfId="108">
      <formula>"Deficiency"</formula>
    </cfRule>
    <cfRule type="cellIs" priority="180" operator="equal" dxfId="109">
      <formula>"On Hold"</formula>
    </cfRule>
  </conditionalFormatting>
  <conditionalFormatting sqref="AG7:AG42">
    <cfRule type="cellIs" priority="76" operator="equal" dxfId="4">
      <formula>"Not Started"</formula>
    </cfRule>
    <cfRule type="cellIs" priority="77" operator="equal" dxfId="3">
      <formula>"In Progress"</formula>
    </cfRule>
    <cfRule type="cellIs" priority="78" operator="equal" dxfId="2">
      <formula>"Complete"</formula>
    </cfRule>
    <cfRule type="cellIs" priority="79" operator="equal" dxfId="1">
      <formula>"Deficiency"</formula>
    </cfRule>
    <cfRule type="cellIs" priority="80" operator="equal" dxfId="0">
      <formula>"On Hold"</formula>
    </cfRule>
    <cfRule type="cellIs" priority="181" operator="equal" dxfId="105">
      <formula>"Not Started"</formula>
    </cfRule>
    <cfRule type="cellIs" priority="182" operator="equal" dxfId="106">
      <formula>"In Progress"</formula>
    </cfRule>
    <cfRule type="cellIs" priority="183" operator="equal" dxfId="107">
      <formula>"Complete"</formula>
    </cfRule>
    <cfRule type="cellIs" priority="184" operator="equal" dxfId="108">
      <formula>"Deficiency"</formula>
    </cfRule>
    <cfRule type="cellIs" priority="185" operator="equal" dxfId="109">
      <formula>"On Hold"</formula>
    </cfRule>
  </conditionalFormatting>
  <conditionalFormatting sqref="AI7:AI42">
    <cfRule type="cellIs" priority="81" operator="equal" dxfId="4">
      <formula>"Not Started"</formula>
    </cfRule>
    <cfRule type="cellIs" priority="82" operator="equal" dxfId="3">
      <formula>"In Progress"</formula>
    </cfRule>
    <cfRule type="cellIs" priority="83" operator="equal" dxfId="2">
      <formula>"Complete"</formula>
    </cfRule>
    <cfRule type="cellIs" priority="84" operator="equal" dxfId="1">
      <formula>"Deficiency"</formula>
    </cfRule>
    <cfRule type="cellIs" priority="85" operator="equal" dxfId="0">
      <formula>"On Hold"</formula>
    </cfRule>
    <cfRule type="cellIs" priority="186" operator="equal" dxfId="105">
      <formula>"Not Started"</formula>
    </cfRule>
    <cfRule type="cellIs" priority="187" operator="equal" dxfId="106">
      <formula>"In Progress"</formula>
    </cfRule>
    <cfRule type="cellIs" priority="188" operator="equal" dxfId="107">
      <formula>"Complete"</formula>
    </cfRule>
    <cfRule type="cellIs" priority="189" operator="equal" dxfId="108">
      <formula>"Deficiency"</formula>
    </cfRule>
    <cfRule type="cellIs" priority="190" operator="equal" dxfId="109">
      <formula>"On Hold"</formula>
    </cfRule>
  </conditionalFormatting>
  <conditionalFormatting sqref="AK7:AK42">
    <cfRule type="cellIs" priority="86" operator="equal" dxfId="4">
      <formula>"Not Started"</formula>
    </cfRule>
    <cfRule type="cellIs" priority="87" operator="equal" dxfId="3">
      <formula>"In Progress"</formula>
    </cfRule>
    <cfRule type="cellIs" priority="88" operator="equal" dxfId="2">
      <formula>"Complete"</formula>
    </cfRule>
    <cfRule type="cellIs" priority="89" operator="equal" dxfId="1">
      <formula>"Deficiency"</formula>
    </cfRule>
    <cfRule type="cellIs" priority="90" operator="equal" dxfId="0">
      <formula>"On Hold"</formula>
    </cfRule>
    <cfRule type="cellIs" priority="191" operator="equal" dxfId="105">
      <formula>"Not Started"</formula>
    </cfRule>
    <cfRule type="cellIs" priority="192" operator="equal" dxfId="106">
      <formula>"In Progress"</formula>
    </cfRule>
    <cfRule type="cellIs" priority="193" operator="equal" dxfId="107">
      <formula>"Complete"</formula>
    </cfRule>
    <cfRule type="cellIs" priority="194" operator="equal" dxfId="108">
      <formula>"Deficiency"</formula>
    </cfRule>
    <cfRule type="cellIs" priority="195" operator="equal" dxfId="109">
      <formula>"On Hold"</formula>
    </cfRule>
  </conditionalFormatting>
  <conditionalFormatting sqref="AM7:AM42">
    <cfRule type="cellIs" priority="91" operator="equal" dxfId="4">
      <formula>"Not Started"</formula>
    </cfRule>
    <cfRule type="cellIs" priority="92" operator="equal" dxfId="3">
      <formula>"In Progress"</formula>
    </cfRule>
    <cfRule type="cellIs" priority="93" operator="equal" dxfId="2">
      <formula>"Complete"</formula>
    </cfRule>
    <cfRule type="cellIs" priority="94" operator="equal" dxfId="1">
      <formula>"Deficiency"</formula>
    </cfRule>
    <cfRule type="cellIs" priority="95" operator="equal" dxfId="0">
      <formula>"On Hold"</formula>
    </cfRule>
    <cfRule type="cellIs" priority="196" operator="equal" dxfId="105">
      <formula>"Not Started"</formula>
    </cfRule>
    <cfRule type="cellIs" priority="197" operator="equal" dxfId="106">
      <formula>"In Progress"</formula>
    </cfRule>
    <cfRule type="cellIs" priority="198" operator="equal" dxfId="107">
      <formula>"Complete"</formula>
    </cfRule>
    <cfRule type="cellIs" priority="199" operator="equal" dxfId="108">
      <formula>"Deficiency"</formula>
    </cfRule>
    <cfRule type="cellIs" priority="200" operator="equal" dxfId="109">
      <formula>"On Hold"</formula>
    </cfRule>
  </conditionalFormatting>
  <conditionalFormatting sqref="AO7:AR42">
    <cfRule type="cellIs" priority="96" operator="equal" dxfId="4">
      <formula>"Not Started"</formula>
    </cfRule>
    <cfRule type="cellIs" priority="97" operator="equal" dxfId="3">
      <formula>"In Progress"</formula>
    </cfRule>
    <cfRule type="cellIs" priority="98" operator="equal" dxfId="2">
      <formula>"Complete"</formula>
    </cfRule>
    <cfRule type="cellIs" priority="99" operator="equal" dxfId="1">
      <formula>"Deficiency"</formula>
    </cfRule>
    <cfRule type="cellIs" priority="100" operator="equal" dxfId="0">
      <formula>"On Hold"</formula>
    </cfRule>
  </conditionalFormatting>
  <conditionalFormatting sqref="AT7:AT42">
    <cfRule type="cellIs" priority="121" operator="equal" dxfId="4">
      <formula>"Not Started"</formula>
    </cfRule>
    <cfRule type="cellIs" priority="122" operator="equal" dxfId="3">
      <formula>"In Progress"</formula>
    </cfRule>
    <cfRule type="cellIs" priority="123" operator="equal" dxfId="2">
      <formula>"Complete"</formula>
    </cfRule>
    <cfRule type="cellIs" priority="124" operator="equal" dxfId="1">
      <formula>"Deficiency"</formula>
    </cfRule>
    <cfRule type="cellIs" priority="125" operator="equal" dxfId="0">
      <formula>"On Hold"</formula>
    </cfRule>
  </conditionalFormatting>
  <conditionalFormatting sqref="AN7:AN42">
    <cfRule type="cellIs" priority="201" operator="equal" dxfId="105">
      <formula>"Not Started"</formula>
    </cfRule>
    <cfRule type="cellIs" priority="202" operator="equal" dxfId="106">
      <formula>"In Progress"</formula>
    </cfRule>
    <cfRule type="cellIs" priority="203" operator="equal" dxfId="107">
      <formula>"Complete"</formula>
    </cfRule>
    <cfRule type="cellIs" priority="204" operator="equal" dxfId="108">
      <formula>"Deficiency"</formula>
    </cfRule>
    <cfRule type="cellIs" priority="205" operator="equal" dxfId="109">
      <formula>"On Hold"</formula>
    </cfRule>
  </conditionalFormatting>
  <conditionalFormatting sqref="AO7:AO42">
    <cfRule type="cellIs" priority="206" operator="equal" dxfId="105">
      <formula>"Not Started"</formula>
    </cfRule>
    <cfRule type="cellIs" priority="207" operator="equal" dxfId="106">
      <formula>"In Progress"</formula>
    </cfRule>
    <cfRule type="cellIs" priority="208" operator="equal" dxfId="107">
      <formula>"Complete"</formula>
    </cfRule>
    <cfRule type="cellIs" priority="209" operator="equal" dxfId="108">
      <formula>"Deficiency"</formula>
    </cfRule>
    <cfRule type="cellIs" priority="210" operator="equal" dxfId="109">
      <formula>"On Hold"</formula>
    </cfRule>
  </conditionalFormatting>
  <conditionalFormatting sqref="AP7:AP42">
    <cfRule type="cellIs" priority="211" operator="equal" dxfId="105">
      <formula>"Not Started"</formula>
    </cfRule>
    <cfRule type="cellIs" priority="212" operator="equal" dxfId="106">
      <formula>"In Progress"</formula>
    </cfRule>
    <cfRule type="cellIs" priority="213" operator="equal" dxfId="107">
      <formula>"Complete"</formula>
    </cfRule>
    <cfRule type="cellIs" priority="214" operator="equal" dxfId="108">
      <formula>"Deficiency"</formula>
    </cfRule>
    <cfRule type="cellIs" priority="215" operator="equal" dxfId="109">
      <formula>"On Hold"</formula>
    </cfRule>
  </conditionalFormatting>
  <conditionalFormatting sqref="AR7:AR42">
    <cfRule type="cellIs" priority="216" operator="equal" dxfId="105">
      <formula>"Not Started"</formula>
    </cfRule>
    <cfRule type="cellIs" priority="217" operator="equal" dxfId="106">
      <formula>"In Progress"</formula>
    </cfRule>
    <cfRule type="cellIs" priority="218" operator="equal" dxfId="107">
      <formula>"Complete"</formula>
    </cfRule>
    <cfRule type="cellIs" priority="219" operator="equal" dxfId="108">
      <formula>"Deficiency"</formula>
    </cfRule>
    <cfRule type="cellIs" priority="220" operator="equal" dxfId="109">
      <formula>"On Hold"</formula>
    </cfRule>
  </conditionalFormatting>
  <dataValidations count="2">
    <dataValidation sqref="C7:C42 E7:E42 G7:G42 I7:I42 K7:K42 M7:M42 O7:O42 Q7:Q42 S7:S42 U7:U42 W7:W42 Y7:Y42 AA7:AA42 AC7:AC42 AE7:AE42 AG7:AG42 AI7:AI42 AK7:AK42 AM7:AM42" showDropDown="0" showInputMessage="0" showErrorMessage="0" allowBlank="1" type="list">
      <formula1>"Not Started,In Progress,Complete,Deficiency,On Hold"</formula1>
    </dataValidation>
    <dataValidation sqref="C7:C42 E7:E42 G7:G42 I7:I42 K7:K42 M7:M42 O7:O42 Q7:Q42 S7:S42 U7:U42 W7:W42 Y7:Y42 AA7:AA42 AC7:AC42 AE7:AE42 AG7:AG42 AI7:AI42 AK7:AK42" showDropDown="0" showInputMessage="0" showErrorMessage="0" allowBlank="1" type="list">
      <formula1>"Not Started,In Progress,Complete,Deficiency,On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2026-07-30T21:53:26Z</dcterms:created>
  <dcterms:modified xmlns:dcterms="http://purl.org/dc/terms/" xmlns:xsi="http://www.w3.org/2001/XMLSchema-instance" xsi:type="dcterms:W3CDTF">2026-07-31T02:35:35Z</dcterms:modified>
  <cp:lastModifiedBy>Miguel Godbout</cp:lastModifiedBy>
</cp:coreProperties>
</file>